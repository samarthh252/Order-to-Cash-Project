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th\Downloads\Downloads\"/>
    </mc:Choice>
  </mc:AlternateContent>
  <xr:revisionPtr revIDLastSave="0" documentId="8_{9B787126-8834-45ED-93DA-4701CCD40237}" xr6:coauthVersionLast="47" xr6:coauthVersionMax="47" xr10:uidLastSave="{00000000-0000-0000-0000-000000000000}"/>
  <bookViews>
    <workbookView xWindow="-120" yWindow="-120" windowWidth="20730" windowHeight="11160" xr2:uid="{51FF21FF-EF0F-4A54-8910-C3C2E5F41B74}"/>
  </bookViews>
  <sheets>
    <sheet name="dashboard" sheetId="1" r:id="rId1"/>
    <sheet name="Invoice_data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11" i="2" l="1"/>
  <c r="I711" i="2" s="1"/>
  <c r="H710" i="2"/>
  <c r="I710" i="2" s="1"/>
  <c r="H709" i="2"/>
  <c r="I709" i="2" s="1"/>
  <c r="I708" i="2"/>
  <c r="H708" i="2"/>
  <c r="H707" i="2"/>
  <c r="I707" i="2" s="1"/>
  <c r="H706" i="2"/>
  <c r="I706" i="2" s="1"/>
  <c r="H705" i="2"/>
  <c r="I705" i="2" s="1"/>
  <c r="H704" i="2"/>
  <c r="I704" i="2" s="1"/>
  <c r="H703" i="2"/>
  <c r="I703" i="2" s="1"/>
  <c r="H702" i="2"/>
  <c r="I702" i="2" s="1"/>
  <c r="H701" i="2"/>
  <c r="I701" i="2" s="1"/>
  <c r="I700" i="2"/>
  <c r="H700" i="2"/>
  <c r="H699" i="2"/>
  <c r="I699" i="2" s="1"/>
  <c r="H698" i="2"/>
  <c r="I698" i="2" s="1"/>
  <c r="H697" i="2"/>
  <c r="I697" i="2" s="1"/>
  <c r="H696" i="2"/>
  <c r="I696" i="2" s="1"/>
  <c r="H695" i="2"/>
  <c r="I695" i="2" s="1"/>
  <c r="I694" i="2"/>
  <c r="H694" i="2"/>
  <c r="H693" i="2"/>
  <c r="I693" i="2" s="1"/>
  <c r="I692" i="2"/>
  <c r="H692" i="2"/>
  <c r="H691" i="2"/>
  <c r="I691" i="2" s="1"/>
  <c r="H690" i="2"/>
  <c r="I690" i="2" s="1"/>
  <c r="H689" i="2"/>
  <c r="I689" i="2" s="1"/>
  <c r="H688" i="2"/>
  <c r="I688" i="2" s="1"/>
  <c r="H687" i="2"/>
  <c r="I687" i="2" s="1"/>
  <c r="I686" i="2"/>
  <c r="H686" i="2"/>
  <c r="H685" i="2"/>
  <c r="I685" i="2" s="1"/>
  <c r="I684" i="2"/>
  <c r="H684" i="2"/>
  <c r="H683" i="2"/>
  <c r="I683" i="2" s="1"/>
  <c r="H682" i="2"/>
  <c r="I682" i="2" s="1"/>
  <c r="H681" i="2"/>
  <c r="I681" i="2" s="1"/>
  <c r="H680" i="2"/>
  <c r="I680" i="2" s="1"/>
  <c r="H679" i="2"/>
  <c r="I679" i="2" s="1"/>
  <c r="I678" i="2"/>
  <c r="H678" i="2"/>
  <c r="H677" i="2"/>
  <c r="I677" i="2" s="1"/>
  <c r="I676" i="2"/>
  <c r="H676" i="2"/>
  <c r="H675" i="2"/>
  <c r="I675" i="2" s="1"/>
  <c r="H674" i="2"/>
  <c r="I674" i="2" s="1"/>
  <c r="H673" i="2"/>
  <c r="I673" i="2" s="1"/>
  <c r="H672" i="2"/>
  <c r="I672" i="2" s="1"/>
  <c r="H671" i="2"/>
  <c r="I671" i="2" s="1"/>
  <c r="I670" i="2"/>
  <c r="H670" i="2"/>
  <c r="H669" i="2"/>
  <c r="I669" i="2" s="1"/>
  <c r="I668" i="2"/>
  <c r="H668" i="2"/>
  <c r="H667" i="2"/>
  <c r="I667" i="2" s="1"/>
  <c r="H666" i="2"/>
  <c r="I666" i="2" s="1"/>
  <c r="H665" i="2"/>
  <c r="I665" i="2" s="1"/>
  <c r="H664" i="2"/>
  <c r="I664" i="2" s="1"/>
  <c r="H663" i="2"/>
  <c r="I663" i="2" s="1"/>
  <c r="I662" i="2"/>
  <c r="H662" i="2"/>
  <c r="H661" i="2"/>
  <c r="I661" i="2" s="1"/>
  <c r="I660" i="2"/>
  <c r="H660" i="2"/>
  <c r="H659" i="2"/>
  <c r="I659" i="2" s="1"/>
  <c r="H658" i="2"/>
  <c r="I658" i="2" s="1"/>
  <c r="H657" i="2"/>
  <c r="I657" i="2" s="1"/>
  <c r="H656" i="2"/>
  <c r="I656" i="2" s="1"/>
  <c r="H655" i="2"/>
  <c r="I655" i="2" s="1"/>
  <c r="I654" i="2"/>
  <c r="H654" i="2"/>
  <c r="H653" i="2"/>
  <c r="I653" i="2" s="1"/>
  <c r="I652" i="2"/>
  <c r="H652" i="2"/>
  <c r="H651" i="2"/>
  <c r="I651" i="2" s="1"/>
  <c r="H650" i="2"/>
  <c r="I650" i="2" s="1"/>
  <c r="H649" i="2"/>
  <c r="I649" i="2" s="1"/>
  <c r="H648" i="2"/>
  <c r="I648" i="2" s="1"/>
  <c r="H647" i="2"/>
  <c r="I647" i="2" s="1"/>
  <c r="I646" i="2"/>
  <c r="H646" i="2"/>
  <c r="H645" i="2"/>
  <c r="I645" i="2" s="1"/>
  <c r="I644" i="2"/>
  <c r="H644" i="2"/>
  <c r="H643" i="2"/>
  <c r="I643" i="2" s="1"/>
  <c r="H642" i="2"/>
  <c r="I642" i="2" s="1"/>
  <c r="H641" i="2"/>
  <c r="I641" i="2" s="1"/>
  <c r="H640" i="2"/>
  <c r="I640" i="2" s="1"/>
  <c r="H639" i="2"/>
  <c r="I639" i="2" s="1"/>
  <c r="I638" i="2"/>
  <c r="H638" i="2"/>
  <c r="H637" i="2"/>
  <c r="I637" i="2" s="1"/>
  <c r="I636" i="2"/>
  <c r="H636" i="2"/>
  <c r="H635" i="2"/>
  <c r="I635" i="2" s="1"/>
  <c r="H634" i="2"/>
  <c r="I634" i="2" s="1"/>
  <c r="H633" i="2"/>
  <c r="I633" i="2" s="1"/>
  <c r="H632" i="2"/>
  <c r="I632" i="2" s="1"/>
  <c r="H631" i="2"/>
  <c r="I631" i="2" s="1"/>
  <c r="I630" i="2"/>
  <c r="H630" i="2"/>
  <c r="H629" i="2"/>
  <c r="I629" i="2" s="1"/>
  <c r="I628" i="2"/>
  <c r="H628" i="2"/>
  <c r="H627" i="2"/>
  <c r="I627" i="2" s="1"/>
  <c r="H626" i="2"/>
  <c r="I626" i="2" s="1"/>
  <c r="H625" i="2"/>
  <c r="I625" i="2" s="1"/>
  <c r="H624" i="2"/>
  <c r="I624" i="2" s="1"/>
  <c r="H623" i="2"/>
  <c r="I623" i="2" s="1"/>
  <c r="I622" i="2"/>
  <c r="H622" i="2"/>
  <c r="H621" i="2"/>
  <c r="I621" i="2" s="1"/>
  <c r="I620" i="2"/>
  <c r="H620" i="2"/>
  <c r="H619" i="2"/>
  <c r="I619" i="2" s="1"/>
  <c r="H618" i="2"/>
  <c r="I618" i="2" s="1"/>
  <c r="H617" i="2"/>
  <c r="I617" i="2" s="1"/>
  <c r="H616" i="2"/>
  <c r="I616" i="2" s="1"/>
  <c r="H615" i="2"/>
  <c r="I615" i="2" s="1"/>
  <c r="I614" i="2"/>
  <c r="H614" i="2"/>
  <c r="H613" i="2"/>
  <c r="I613" i="2" s="1"/>
  <c r="I612" i="2"/>
  <c r="H612" i="2"/>
  <c r="H611" i="2"/>
  <c r="I611" i="2" s="1"/>
  <c r="H610" i="2"/>
  <c r="I610" i="2" s="1"/>
  <c r="H609" i="2"/>
  <c r="I609" i="2" s="1"/>
  <c r="H608" i="2"/>
  <c r="I608" i="2" s="1"/>
  <c r="H607" i="2"/>
  <c r="I607" i="2" s="1"/>
  <c r="I606" i="2"/>
  <c r="H606" i="2"/>
  <c r="H605" i="2"/>
  <c r="I605" i="2" s="1"/>
  <c r="I604" i="2"/>
  <c r="H604" i="2"/>
  <c r="H603" i="2"/>
  <c r="I603" i="2" s="1"/>
  <c r="H602" i="2"/>
  <c r="I602" i="2" s="1"/>
  <c r="H601" i="2"/>
  <c r="I601" i="2" s="1"/>
  <c r="H600" i="2"/>
  <c r="I600" i="2" s="1"/>
  <c r="H599" i="2"/>
  <c r="I599" i="2" s="1"/>
  <c r="I598" i="2"/>
  <c r="H598" i="2"/>
  <c r="H597" i="2"/>
  <c r="I597" i="2" s="1"/>
  <c r="I596" i="2"/>
  <c r="H596" i="2"/>
  <c r="H595" i="2"/>
  <c r="I595" i="2" s="1"/>
  <c r="H594" i="2"/>
  <c r="I594" i="2" s="1"/>
  <c r="H593" i="2"/>
  <c r="I593" i="2" s="1"/>
  <c r="H592" i="2"/>
  <c r="I592" i="2" s="1"/>
  <c r="H591" i="2"/>
  <c r="I591" i="2" s="1"/>
  <c r="I590" i="2"/>
  <c r="H590" i="2"/>
  <c r="H589" i="2"/>
  <c r="I589" i="2" s="1"/>
  <c r="I588" i="2"/>
  <c r="H588" i="2"/>
  <c r="H587" i="2"/>
  <c r="I587" i="2" s="1"/>
  <c r="H586" i="2"/>
  <c r="I586" i="2" s="1"/>
  <c r="H585" i="2"/>
  <c r="I585" i="2" s="1"/>
  <c r="H584" i="2"/>
  <c r="I584" i="2" s="1"/>
  <c r="H583" i="2"/>
  <c r="I583" i="2" s="1"/>
  <c r="I582" i="2"/>
  <c r="H582" i="2"/>
  <c r="H581" i="2"/>
  <c r="I581" i="2" s="1"/>
  <c r="I580" i="2"/>
  <c r="H580" i="2"/>
  <c r="H579" i="2"/>
  <c r="I579" i="2" s="1"/>
  <c r="H578" i="2"/>
  <c r="I578" i="2" s="1"/>
  <c r="H577" i="2"/>
  <c r="I577" i="2" s="1"/>
  <c r="H576" i="2"/>
  <c r="I576" i="2" s="1"/>
  <c r="H575" i="2"/>
  <c r="I575" i="2" s="1"/>
  <c r="I574" i="2"/>
  <c r="H574" i="2"/>
  <c r="H573" i="2"/>
  <c r="I573" i="2" s="1"/>
  <c r="I572" i="2"/>
  <c r="H572" i="2"/>
  <c r="H571" i="2"/>
  <c r="I571" i="2" s="1"/>
  <c r="H570" i="2"/>
  <c r="I570" i="2" s="1"/>
  <c r="H569" i="2"/>
  <c r="I569" i="2" s="1"/>
  <c r="H568" i="2"/>
  <c r="I568" i="2" s="1"/>
  <c r="H567" i="2"/>
  <c r="I567" i="2" s="1"/>
  <c r="I566" i="2"/>
  <c r="H566" i="2"/>
  <c r="H565" i="2"/>
  <c r="I565" i="2" s="1"/>
  <c r="I564" i="2"/>
  <c r="H564" i="2"/>
  <c r="H563" i="2"/>
  <c r="I563" i="2" s="1"/>
  <c r="H562" i="2"/>
  <c r="I562" i="2" s="1"/>
  <c r="H561" i="2"/>
  <c r="I561" i="2" s="1"/>
  <c r="H560" i="2"/>
  <c r="I560" i="2" s="1"/>
  <c r="H559" i="2"/>
  <c r="I559" i="2" s="1"/>
  <c r="I558" i="2"/>
  <c r="H558" i="2"/>
  <c r="H557" i="2"/>
  <c r="I557" i="2" s="1"/>
  <c r="I556" i="2"/>
  <c r="H556" i="2"/>
  <c r="H555" i="2"/>
  <c r="I555" i="2" s="1"/>
  <c r="H554" i="2"/>
  <c r="I554" i="2" s="1"/>
  <c r="H553" i="2"/>
  <c r="I553" i="2" s="1"/>
  <c r="H552" i="2"/>
  <c r="I552" i="2" s="1"/>
  <c r="H551" i="2"/>
  <c r="I551" i="2" s="1"/>
  <c r="I550" i="2"/>
  <c r="H550" i="2"/>
  <c r="H549" i="2"/>
  <c r="I549" i="2" s="1"/>
  <c r="I548" i="2"/>
  <c r="H548" i="2"/>
  <c r="H547" i="2"/>
  <c r="I547" i="2" s="1"/>
  <c r="H546" i="2"/>
  <c r="I546" i="2" s="1"/>
  <c r="H545" i="2"/>
  <c r="I545" i="2" s="1"/>
  <c r="H544" i="2"/>
  <c r="I544" i="2" s="1"/>
  <c r="H543" i="2"/>
  <c r="I543" i="2" s="1"/>
  <c r="I542" i="2"/>
  <c r="H542" i="2"/>
  <c r="H541" i="2"/>
  <c r="I541" i="2" s="1"/>
  <c r="I540" i="2"/>
  <c r="H540" i="2"/>
  <c r="H539" i="2"/>
  <c r="I539" i="2" s="1"/>
  <c r="I538" i="2"/>
  <c r="H538" i="2"/>
  <c r="H537" i="2"/>
  <c r="I537" i="2" s="1"/>
  <c r="I536" i="2"/>
  <c r="H536" i="2"/>
  <c r="H535" i="2"/>
  <c r="I535" i="2" s="1"/>
  <c r="I534" i="2"/>
  <c r="H534" i="2"/>
  <c r="H533" i="2"/>
  <c r="I533" i="2" s="1"/>
  <c r="I532" i="2"/>
  <c r="H532" i="2"/>
  <c r="H531" i="2"/>
  <c r="I531" i="2" s="1"/>
  <c r="I530" i="2"/>
  <c r="H530" i="2"/>
  <c r="H529" i="2"/>
  <c r="I529" i="2" s="1"/>
  <c r="I528" i="2"/>
  <c r="H528" i="2"/>
  <c r="H527" i="2"/>
  <c r="I527" i="2" s="1"/>
  <c r="I526" i="2"/>
  <c r="H526" i="2"/>
  <c r="H525" i="2"/>
  <c r="I525" i="2" s="1"/>
  <c r="I524" i="2"/>
  <c r="H524" i="2"/>
  <c r="H523" i="2"/>
  <c r="I523" i="2" s="1"/>
  <c r="I522" i="2"/>
  <c r="H522" i="2"/>
  <c r="H521" i="2"/>
  <c r="I521" i="2" s="1"/>
  <c r="I520" i="2"/>
  <c r="H520" i="2"/>
  <c r="H519" i="2"/>
  <c r="I519" i="2" s="1"/>
  <c r="I518" i="2"/>
  <c r="H518" i="2"/>
  <c r="H517" i="2"/>
  <c r="I517" i="2" s="1"/>
  <c r="I516" i="2"/>
  <c r="H516" i="2"/>
  <c r="H515" i="2"/>
  <c r="I515" i="2" s="1"/>
  <c r="I514" i="2"/>
  <c r="H514" i="2"/>
  <c r="H513" i="2"/>
  <c r="I513" i="2" s="1"/>
  <c r="I512" i="2"/>
  <c r="H512" i="2"/>
  <c r="H511" i="2"/>
  <c r="I511" i="2" s="1"/>
  <c r="I510" i="2"/>
  <c r="H510" i="2"/>
  <c r="H509" i="2"/>
  <c r="I509" i="2" s="1"/>
  <c r="I508" i="2"/>
  <c r="H508" i="2"/>
  <c r="H507" i="2"/>
  <c r="I507" i="2" s="1"/>
  <c r="I506" i="2"/>
  <c r="H506" i="2"/>
  <c r="H505" i="2"/>
  <c r="I505" i="2" s="1"/>
  <c r="I504" i="2"/>
  <c r="H504" i="2"/>
  <c r="H503" i="2"/>
  <c r="I503" i="2" s="1"/>
  <c r="I502" i="2"/>
  <c r="H502" i="2"/>
  <c r="H501" i="2"/>
  <c r="I501" i="2" s="1"/>
  <c r="I500" i="2"/>
  <c r="H500" i="2"/>
  <c r="H499" i="2"/>
  <c r="I499" i="2" s="1"/>
  <c r="I498" i="2"/>
  <c r="H498" i="2"/>
  <c r="H497" i="2"/>
  <c r="I497" i="2" s="1"/>
  <c r="I496" i="2"/>
  <c r="H496" i="2"/>
  <c r="H495" i="2"/>
  <c r="I495" i="2" s="1"/>
  <c r="I494" i="2"/>
  <c r="H494" i="2"/>
  <c r="H493" i="2"/>
  <c r="I493" i="2" s="1"/>
  <c r="I492" i="2"/>
  <c r="H492" i="2"/>
  <c r="H491" i="2"/>
  <c r="I491" i="2" s="1"/>
  <c r="I490" i="2"/>
  <c r="H490" i="2"/>
  <c r="H489" i="2"/>
  <c r="I489" i="2" s="1"/>
  <c r="I488" i="2"/>
  <c r="H488" i="2"/>
  <c r="H487" i="2"/>
  <c r="I487" i="2" s="1"/>
  <c r="I486" i="2"/>
  <c r="H486" i="2"/>
  <c r="H485" i="2"/>
  <c r="I485" i="2" s="1"/>
  <c r="I484" i="2"/>
  <c r="H484" i="2"/>
  <c r="H483" i="2"/>
  <c r="I483" i="2" s="1"/>
  <c r="I482" i="2"/>
  <c r="H482" i="2"/>
  <c r="H481" i="2"/>
  <c r="I481" i="2" s="1"/>
  <c r="I480" i="2"/>
  <c r="H480" i="2"/>
  <c r="H479" i="2"/>
  <c r="I479" i="2" s="1"/>
  <c r="I478" i="2"/>
  <c r="H478" i="2"/>
  <c r="H477" i="2"/>
  <c r="I477" i="2" s="1"/>
  <c r="I476" i="2"/>
  <c r="H476" i="2"/>
  <c r="H475" i="2"/>
  <c r="I475" i="2" s="1"/>
  <c r="I474" i="2"/>
  <c r="H474" i="2"/>
  <c r="H473" i="2"/>
  <c r="I473" i="2" s="1"/>
  <c r="I472" i="2"/>
  <c r="H472" i="2"/>
  <c r="H471" i="2"/>
  <c r="I471" i="2" s="1"/>
  <c r="I470" i="2"/>
  <c r="H470" i="2"/>
  <c r="H469" i="2"/>
  <c r="I469" i="2" s="1"/>
  <c r="I468" i="2"/>
  <c r="H468" i="2"/>
  <c r="H467" i="2"/>
  <c r="I467" i="2" s="1"/>
  <c r="I466" i="2"/>
  <c r="H466" i="2"/>
  <c r="H465" i="2"/>
  <c r="I465" i="2" s="1"/>
  <c r="I464" i="2"/>
  <c r="H464" i="2"/>
  <c r="H463" i="2"/>
  <c r="I463" i="2" s="1"/>
  <c r="I462" i="2"/>
  <c r="H462" i="2"/>
  <c r="H461" i="2"/>
  <c r="I461" i="2" s="1"/>
  <c r="I460" i="2"/>
  <c r="H460" i="2"/>
  <c r="H459" i="2"/>
  <c r="I459" i="2" s="1"/>
  <c r="I458" i="2"/>
  <c r="H458" i="2"/>
  <c r="H457" i="2"/>
  <c r="I457" i="2" s="1"/>
  <c r="I456" i="2"/>
  <c r="H456" i="2"/>
  <c r="H455" i="2"/>
  <c r="I455" i="2" s="1"/>
  <c r="I454" i="2"/>
  <c r="H454" i="2"/>
  <c r="H453" i="2"/>
  <c r="I453" i="2" s="1"/>
  <c r="I452" i="2"/>
  <c r="H452" i="2"/>
  <c r="H451" i="2"/>
  <c r="I451" i="2" s="1"/>
  <c r="I450" i="2"/>
  <c r="H450" i="2"/>
  <c r="H449" i="2"/>
  <c r="I449" i="2" s="1"/>
  <c r="I448" i="2"/>
  <c r="H448" i="2"/>
  <c r="H447" i="2"/>
  <c r="I447" i="2" s="1"/>
  <c r="I446" i="2"/>
  <c r="H446" i="2"/>
  <c r="H445" i="2"/>
  <c r="I445" i="2" s="1"/>
  <c r="I444" i="2"/>
  <c r="H444" i="2"/>
  <c r="H443" i="2"/>
  <c r="I443" i="2" s="1"/>
  <c r="I442" i="2"/>
  <c r="H442" i="2"/>
  <c r="H441" i="2"/>
  <c r="I441" i="2" s="1"/>
  <c r="I440" i="2"/>
  <c r="H440" i="2"/>
  <c r="H439" i="2"/>
  <c r="I439" i="2" s="1"/>
  <c r="I438" i="2"/>
  <c r="H438" i="2"/>
  <c r="H437" i="2"/>
  <c r="I437" i="2" s="1"/>
  <c r="I436" i="2"/>
  <c r="H436" i="2"/>
  <c r="H435" i="2"/>
  <c r="I435" i="2" s="1"/>
  <c r="I434" i="2"/>
  <c r="H434" i="2"/>
  <c r="H433" i="2"/>
  <c r="I433" i="2" s="1"/>
  <c r="I432" i="2"/>
  <c r="H432" i="2"/>
  <c r="H431" i="2"/>
  <c r="I431" i="2" s="1"/>
  <c r="I430" i="2"/>
  <c r="H430" i="2"/>
  <c r="H429" i="2"/>
  <c r="I429" i="2" s="1"/>
  <c r="I428" i="2"/>
  <c r="H428" i="2"/>
  <c r="H427" i="2"/>
  <c r="I427" i="2" s="1"/>
  <c r="I426" i="2"/>
  <c r="H426" i="2"/>
  <c r="H425" i="2"/>
  <c r="I425" i="2" s="1"/>
  <c r="I424" i="2"/>
  <c r="H424" i="2"/>
  <c r="H423" i="2"/>
  <c r="I423" i="2" s="1"/>
  <c r="I422" i="2"/>
  <c r="H422" i="2"/>
  <c r="H421" i="2"/>
  <c r="I421" i="2" s="1"/>
  <c r="I420" i="2"/>
  <c r="H420" i="2"/>
  <c r="H419" i="2"/>
  <c r="I419" i="2" s="1"/>
  <c r="I418" i="2"/>
  <c r="H418" i="2"/>
  <c r="H417" i="2"/>
  <c r="I417" i="2" s="1"/>
  <c r="I416" i="2"/>
  <c r="H416" i="2"/>
  <c r="H415" i="2"/>
  <c r="I415" i="2" s="1"/>
  <c r="I414" i="2"/>
  <c r="H414" i="2"/>
  <c r="H413" i="2"/>
  <c r="I413" i="2" s="1"/>
  <c r="I412" i="2"/>
  <c r="H412" i="2"/>
  <c r="H411" i="2"/>
  <c r="I411" i="2" s="1"/>
  <c r="I410" i="2"/>
  <c r="H410" i="2"/>
  <c r="H409" i="2"/>
  <c r="I409" i="2" s="1"/>
  <c r="I408" i="2"/>
  <c r="H408" i="2"/>
  <c r="H407" i="2"/>
  <c r="I407" i="2" s="1"/>
  <c r="I406" i="2"/>
  <c r="H406" i="2"/>
  <c r="H405" i="2"/>
  <c r="I405" i="2" s="1"/>
  <c r="I404" i="2"/>
  <c r="H404" i="2"/>
  <c r="H403" i="2"/>
  <c r="I403" i="2" s="1"/>
  <c r="I402" i="2"/>
  <c r="H402" i="2"/>
  <c r="H401" i="2"/>
  <c r="I401" i="2" s="1"/>
  <c r="I400" i="2"/>
  <c r="H400" i="2"/>
  <c r="H399" i="2"/>
  <c r="I399" i="2" s="1"/>
  <c r="I398" i="2"/>
  <c r="H398" i="2"/>
  <c r="H397" i="2"/>
  <c r="I397" i="2" s="1"/>
  <c r="I396" i="2"/>
  <c r="H396" i="2"/>
  <c r="H395" i="2"/>
  <c r="I395" i="2" s="1"/>
  <c r="I394" i="2"/>
  <c r="H394" i="2"/>
  <c r="H393" i="2"/>
  <c r="I393" i="2" s="1"/>
  <c r="I392" i="2"/>
  <c r="H392" i="2"/>
  <c r="H391" i="2"/>
  <c r="I391" i="2" s="1"/>
  <c r="I390" i="2"/>
  <c r="H390" i="2"/>
  <c r="H389" i="2"/>
  <c r="I389" i="2" s="1"/>
  <c r="I388" i="2"/>
  <c r="H388" i="2"/>
  <c r="H387" i="2"/>
  <c r="I387" i="2" s="1"/>
  <c r="I386" i="2"/>
  <c r="H386" i="2"/>
  <c r="H385" i="2"/>
  <c r="I385" i="2" s="1"/>
  <c r="I384" i="2"/>
  <c r="H384" i="2"/>
  <c r="H383" i="2"/>
  <c r="I383" i="2" s="1"/>
  <c r="I382" i="2"/>
  <c r="H382" i="2"/>
  <c r="H381" i="2"/>
  <c r="I381" i="2" s="1"/>
  <c r="I380" i="2"/>
  <c r="H380" i="2"/>
  <c r="H379" i="2"/>
  <c r="I379" i="2" s="1"/>
  <c r="I378" i="2"/>
  <c r="H378" i="2"/>
  <c r="H377" i="2"/>
  <c r="I377" i="2" s="1"/>
  <c r="I376" i="2"/>
  <c r="H376" i="2"/>
  <c r="H375" i="2"/>
  <c r="I375" i="2" s="1"/>
  <c r="I374" i="2"/>
  <c r="H374" i="2"/>
  <c r="H373" i="2"/>
  <c r="I373" i="2" s="1"/>
  <c r="I372" i="2"/>
  <c r="H372" i="2"/>
  <c r="H371" i="2"/>
  <c r="I371" i="2" s="1"/>
  <c r="I370" i="2"/>
  <c r="H370" i="2"/>
  <c r="H369" i="2"/>
  <c r="I369" i="2" s="1"/>
  <c r="I368" i="2"/>
  <c r="H368" i="2"/>
  <c r="H367" i="2"/>
  <c r="I367" i="2" s="1"/>
  <c r="I366" i="2"/>
  <c r="H366" i="2"/>
  <c r="H365" i="2"/>
  <c r="I365" i="2" s="1"/>
  <c r="I364" i="2"/>
  <c r="H364" i="2"/>
  <c r="H363" i="2"/>
  <c r="I363" i="2" s="1"/>
  <c r="I362" i="2"/>
  <c r="H362" i="2"/>
  <c r="H361" i="2"/>
  <c r="I361" i="2" s="1"/>
  <c r="I360" i="2"/>
  <c r="H360" i="2"/>
  <c r="H359" i="2"/>
  <c r="I359" i="2" s="1"/>
  <c r="I358" i="2"/>
  <c r="H358" i="2"/>
  <c r="H357" i="2"/>
  <c r="I357" i="2" s="1"/>
  <c r="I356" i="2"/>
  <c r="H356" i="2"/>
  <c r="H355" i="2"/>
  <c r="I355" i="2" s="1"/>
  <c r="I354" i="2"/>
  <c r="H354" i="2"/>
  <c r="H353" i="2"/>
  <c r="I353" i="2" s="1"/>
  <c r="I352" i="2"/>
  <c r="H352" i="2"/>
  <c r="H351" i="2"/>
  <c r="I351" i="2" s="1"/>
  <c r="I350" i="2"/>
  <c r="H350" i="2"/>
  <c r="H349" i="2"/>
  <c r="I349" i="2" s="1"/>
  <c r="I348" i="2"/>
  <c r="H348" i="2"/>
  <c r="H347" i="2"/>
  <c r="I347" i="2" s="1"/>
  <c r="I346" i="2"/>
  <c r="H346" i="2"/>
  <c r="H345" i="2"/>
  <c r="I345" i="2" s="1"/>
  <c r="I344" i="2"/>
  <c r="H344" i="2"/>
  <c r="H343" i="2"/>
  <c r="I343" i="2" s="1"/>
  <c r="I342" i="2"/>
  <c r="H342" i="2"/>
  <c r="H341" i="2"/>
  <c r="I341" i="2" s="1"/>
  <c r="I340" i="2"/>
  <c r="H340" i="2"/>
  <c r="H339" i="2"/>
  <c r="I339" i="2" s="1"/>
  <c r="I338" i="2"/>
  <c r="H338" i="2"/>
  <c r="H337" i="2"/>
  <c r="I337" i="2" s="1"/>
  <c r="I336" i="2"/>
  <c r="H336" i="2"/>
  <c r="H335" i="2"/>
  <c r="I335" i="2" s="1"/>
  <c r="I334" i="2"/>
  <c r="H334" i="2"/>
  <c r="H333" i="2"/>
  <c r="I333" i="2" s="1"/>
  <c r="I332" i="2"/>
  <c r="H332" i="2"/>
  <c r="H331" i="2"/>
  <c r="I331" i="2" s="1"/>
  <c r="I330" i="2"/>
  <c r="H330" i="2"/>
  <c r="H329" i="2"/>
  <c r="I329" i="2" s="1"/>
  <c r="I328" i="2"/>
  <c r="H328" i="2"/>
  <c r="H327" i="2"/>
  <c r="I327" i="2" s="1"/>
  <c r="I326" i="2"/>
  <c r="H326" i="2"/>
  <c r="H325" i="2"/>
  <c r="I325" i="2" s="1"/>
  <c r="I324" i="2"/>
  <c r="H324" i="2"/>
  <c r="H323" i="2"/>
  <c r="I323" i="2" s="1"/>
  <c r="I322" i="2"/>
  <c r="H322" i="2"/>
  <c r="H321" i="2"/>
  <c r="I321" i="2" s="1"/>
  <c r="I320" i="2"/>
  <c r="H320" i="2"/>
  <c r="H319" i="2"/>
  <c r="I319" i="2" s="1"/>
  <c r="I318" i="2"/>
  <c r="H318" i="2"/>
  <c r="H317" i="2"/>
  <c r="I317" i="2" s="1"/>
  <c r="I316" i="2"/>
  <c r="H316" i="2"/>
  <c r="H315" i="2"/>
  <c r="I315" i="2" s="1"/>
  <c r="I314" i="2"/>
  <c r="H314" i="2"/>
  <c r="H313" i="2"/>
  <c r="I313" i="2" s="1"/>
  <c r="I312" i="2"/>
  <c r="H312" i="2"/>
  <c r="H311" i="2"/>
  <c r="I311" i="2" s="1"/>
  <c r="I310" i="2"/>
  <c r="H310" i="2"/>
  <c r="H309" i="2"/>
  <c r="I309" i="2" s="1"/>
  <c r="I308" i="2"/>
  <c r="H308" i="2"/>
  <c r="H307" i="2"/>
  <c r="I307" i="2" s="1"/>
  <c r="I306" i="2"/>
  <c r="H306" i="2"/>
  <c r="H305" i="2"/>
  <c r="I305" i="2" s="1"/>
  <c r="I304" i="2"/>
  <c r="H304" i="2"/>
  <c r="H303" i="2"/>
  <c r="I303" i="2" s="1"/>
  <c r="I302" i="2"/>
  <c r="H302" i="2"/>
  <c r="H301" i="2"/>
  <c r="I301" i="2" s="1"/>
  <c r="I300" i="2"/>
  <c r="H300" i="2"/>
  <c r="H299" i="2"/>
  <c r="I299" i="2" s="1"/>
  <c r="I298" i="2"/>
  <c r="H298" i="2"/>
  <c r="H297" i="2"/>
  <c r="I297" i="2" s="1"/>
  <c r="I296" i="2"/>
  <c r="H296" i="2"/>
  <c r="H295" i="2"/>
  <c r="I295" i="2" s="1"/>
  <c r="I294" i="2"/>
  <c r="H294" i="2"/>
  <c r="H293" i="2"/>
  <c r="I293" i="2" s="1"/>
  <c r="I292" i="2"/>
  <c r="H292" i="2"/>
  <c r="H291" i="2"/>
  <c r="I291" i="2" s="1"/>
  <c r="I290" i="2"/>
  <c r="H290" i="2"/>
  <c r="H289" i="2"/>
  <c r="I289" i="2" s="1"/>
  <c r="I288" i="2"/>
  <c r="H288" i="2"/>
  <c r="H287" i="2"/>
  <c r="I287" i="2" s="1"/>
  <c r="I286" i="2"/>
  <c r="H286" i="2"/>
  <c r="H285" i="2"/>
  <c r="I285" i="2" s="1"/>
  <c r="I284" i="2"/>
  <c r="H284" i="2"/>
  <c r="H283" i="2"/>
  <c r="I283" i="2" s="1"/>
  <c r="I282" i="2"/>
  <c r="H282" i="2"/>
  <c r="H281" i="2"/>
  <c r="I281" i="2" s="1"/>
  <c r="I280" i="2"/>
  <c r="H280" i="2"/>
  <c r="H279" i="2"/>
  <c r="I279" i="2" s="1"/>
  <c r="I278" i="2"/>
  <c r="H278" i="2"/>
  <c r="H277" i="2"/>
  <c r="I277" i="2" s="1"/>
  <c r="I276" i="2"/>
  <c r="H276" i="2"/>
  <c r="H275" i="2"/>
  <c r="I275" i="2" s="1"/>
  <c r="I274" i="2"/>
  <c r="H274" i="2"/>
  <c r="H273" i="2"/>
  <c r="I273" i="2" s="1"/>
  <c r="H272" i="2"/>
  <c r="I272" i="2" s="1"/>
  <c r="I271" i="2"/>
  <c r="H271" i="2"/>
  <c r="H270" i="2"/>
  <c r="I270" i="2" s="1"/>
  <c r="H269" i="2"/>
  <c r="I269" i="2" s="1"/>
  <c r="H268" i="2"/>
  <c r="I268" i="2" s="1"/>
  <c r="H267" i="2"/>
  <c r="I267" i="2" s="1"/>
  <c r="H266" i="2"/>
  <c r="I266" i="2" s="1"/>
  <c r="H265" i="2"/>
  <c r="I265" i="2" s="1"/>
  <c r="H264" i="2"/>
  <c r="I264" i="2" s="1"/>
  <c r="I263" i="2"/>
  <c r="H263" i="2"/>
  <c r="H262" i="2"/>
  <c r="I262" i="2" s="1"/>
  <c r="H261" i="2"/>
  <c r="I261" i="2" s="1"/>
  <c r="H260" i="2"/>
  <c r="I260" i="2" s="1"/>
  <c r="H259" i="2"/>
  <c r="I259" i="2" s="1"/>
  <c r="H258" i="2"/>
  <c r="I258" i="2" s="1"/>
  <c r="H257" i="2"/>
  <c r="I257" i="2" s="1"/>
  <c r="H256" i="2"/>
  <c r="I256" i="2" s="1"/>
  <c r="I255" i="2"/>
  <c r="H255" i="2"/>
  <c r="H254" i="2"/>
  <c r="I254" i="2" s="1"/>
  <c r="H253" i="2"/>
  <c r="I253" i="2" s="1"/>
  <c r="H252" i="2"/>
  <c r="I252" i="2" s="1"/>
  <c r="H251" i="2"/>
  <c r="I251" i="2" s="1"/>
  <c r="H250" i="2"/>
  <c r="I250" i="2" s="1"/>
  <c r="H249" i="2"/>
  <c r="I249" i="2" s="1"/>
  <c r="H248" i="2"/>
  <c r="I248" i="2" s="1"/>
  <c r="I247" i="2"/>
  <c r="H247" i="2"/>
  <c r="H246" i="2"/>
  <c r="I246" i="2" s="1"/>
  <c r="H245" i="2"/>
  <c r="I245" i="2" s="1"/>
  <c r="H244" i="2"/>
  <c r="I244" i="2" s="1"/>
  <c r="H243" i="2"/>
  <c r="I243" i="2" s="1"/>
  <c r="H242" i="2"/>
  <c r="I242" i="2" s="1"/>
  <c r="H241" i="2"/>
  <c r="I241" i="2" s="1"/>
  <c r="H240" i="2"/>
  <c r="I240" i="2" s="1"/>
  <c r="I239" i="2"/>
  <c r="H239" i="2"/>
  <c r="H238" i="2"/>
  <c r="I238" i="2" s="1"/>
  <c r="H237" i="2"/>
  <c r="I237" i="2" s="1"/>
  <c r="H236" i="2"/>
  <c r="I236" i="2" s="1"/>
  <c r="H235" i="2"/>
  <c r="I235" i="2" s="1"/>
  <c r="H234" i="2"/>
  <c r="I234" i="2" s="1"/>
  <c r="H233" i="2"/>
  <c r="I233" i="2" s="1"/>
  <c r="H232" i="2"/>
  <c r="I232" i="2" s="1"/>
  <c r="I231" i="2"/>
  <c r="H231" i="2"/>
  <c r="H230" i="2"/>
  <c r="I230" i="2" s="1"/>
  <c r="H229" i="2"/>
  <c r="I229" i="2" s="1"/>
  <c r="H228" i="2"/>
  <c r="I228" i="2" s="1"/>
  <c r="H227" i="2"/>
  <c r="I227" i="2" s="1"/>
  <c r="H226" i="2"/>
  <c r="I226" i="2" s="1"/>
  <c r="H225" i="2"/>
  <c r="I225" i="2" s="1"/>
  <c r="H224" i="2"/>
  <c r="I224" i="2" s="1"/>
  <c r="I223" i="2"/>
  <c r="H223" i="2"/>
  <c r="H222" i="2"/>
  <c r="I222" i="2" s="1"/>
  <c r="H221" i="2"/>
  <c r="I221" i="2" s="1"/>
  <c r="H220" i="2"/>
  <c r="I220" i="2" s="1"/>
  <c r="H219" i="2"/>
  <c r="I219" i="2" s="1"/>
  <c r="H218" i="2"/>
  <c r="I218" i="2" s="1"/>
  <c r="H217" i="2"/>
  <c r="I217" i="2" s="1"/>
  <c r="H216" i="2"/>
  <c r="I216" i="2" s="1"/>
  <c r="I215" i="2"/>
  <c r="H215" i="2"/>
  <c r="H214" i="2"/>
  <c r="I214" i="2" s="1"/>
  <c r="H213" i="2"/>
  <c r="I213" i="2" s="1"/>
  <c r="H212" i="2"/>
  <c r="I212" i="2" s="1"/>
  <c r="H211" i="2"/>
  <c r="I211" i="2" s="1"/>
  <c r="H210" i="2"/>
  <c r="I210" i="2" s="1"/>
  <c r="H209" i="2"/>
  <c r="I209" i="2" s="1"/>
  <c r="H208" i="2"/>
  <c r="I208" i="2" s="1"/>
  <c r="I207" i="2"/>
  <c r="H207" i="2"/>
  <c r="H206" i="2"/>
  <c r="I206" i="2" s="1"/>
  <c r="H205" i="2"/>
  <c r="I205" i="2" s="1"/>
  <c r="H204" i="2"/>
  <c r="I204" i="2" s="1"/>
  <c r="H203" i="2"/>
  <c r="I203" i="2" s="1"/>
  <c r="H202" i="2"/>
  <c r="I202" i="2" s="1"/>
  <c r="H201" i="2"/>
  <c r="I201" i="2" s="1"/>
  <c r="H200" i="2"/>
  <c r="I200" i="2" s="1"/>
  <c r="I199" i="2"/>
  <c r="H199" i="2"/>
  <c r="H198" i="2"/>
  <c r="I198" i="2" s="1"/>
  <c r="H197" i="2"/>
  <c r="I197" i="2" s="1"/>
  <c r="H196" i="2"/>
  <c r="I196" i="2" s="1"/>
  <c r="H195" i="2"/>
  <c r="I195" i="2" s="1"/>
  <c r="H194" i="2"/>
  <c r="I194" i="2" s="1"/>
  <c r="H193" i="2"/>
  <c r="I193" i="2" s="1"/>
  <c r="H192" i="2"/>
  <c r="I192" i="2" s="1"/>
  <c r="I191" i="2"/>
  <c r="H191" i="2"/>
  <c r="H190" i="2"/>
  <c r="I190" i="2" s="1"/>
  <c r="H189" i="2"/>
  <c r="I189" i="2" s="1"/>
  <c r="H188" i="2"/>
  <c r="I188" i="2" s="1"/>
  <c r="H187" i="2"/>
  <c r="I187" i="2" s="1"/>
  <c r="H186" i="2"/>
  <c r="I186" i="2" s="1"/>
  <c r="H185" i="2"/>
  <c r="I185" i="2" s="1"/>
  <c r="H184" i="2"/>
  <c r="I184" i="2" s="1"/>
  <c r="I183" i="2"/>
  <c r="H183" i="2"/>
  <c r="H182" i="2"/>
  <c r="I182" i="2" s="1"/>
  <c r="H181" i="2"/>
  <c r="I181" i="2" s="1"/>
  <c r="H180" i="2"/>
  <c r="I180" i="2" s="1"/>
  <c r="H179" i="2"/>
  <c r="I179" i="2" s="1"/>
  <c r="H178" i="2"/>
  <c r="I178" i="2" s="1"/>
  <c r="H177" i="2"/>
  <c r="I177" i="2" s="1"/>
  <c r="H176" i="2"/>
  <c r="I176" i="2" s="1"/>
  <c r="I175" i="2"/>
  <c r="H175" i="2"/>
  <c r="H174" i="2"/>
  <c r="I174" i="2" s="1"/>
  <c r="H173" i="2"/>
  <c r="I173" i="2" s="1"/>
  <c r="H172" i="2"/>
  <c r="I172" i="2" s="1"/>
  <c r="H171" i="2"/>
  <c r="I171" i="2" s="1"/>
  <c r="H170" i="2"/>
  <c r="I170" i="2" s="1"/>
  <c r="H169" i="2"/>
  <c r="I169" i="2" s="1"/>
  <c r="H168" i="2"/>
  <c r="I168" i="2" s="1"/>
  <c r="I167" i="2"/>
  <c r="H167" i="2"/>
  <c r="H166" i="2"/>
  <c r="I166" i="2" s="1"/>
  <c r="H165" i="2"/>
  <c r="I165" i="2" s="1"/>
  <c r="H164" i="2"/>
  <c r="I164" i="2" s="1"/>
  <c r="H163" i="2"/>
  <c r="I163" i="2" s="1"/>
  <c r="H162" i="2"/>
  <c r="I162" i="2" s="1"/>
  <c r="H161" i="2"/>
  <c r="I161" i="2" s="1"/>
  <c r="H160" i="2"/>
  <c r="I160" i="2" s="1"/>
  <c r="I159" i="2"/>
  <c r="H159" i="2"/>
  <c r="H158" i="2"/>
  <c r="I158" i="2" s="1"/>
  <c r="H157" i="2"/>
  <c r="I157" i="2" s="1"/>
  <c r="H156" i="2"/>
  <c r="I156" i="2" s="1"/>
  <c r="H155" i="2"/>
  <c r="I155" i="2" s="1"/>
  <c r="H154" i="2"/>
  <c r="I154" i="2" s="1"/>
  <c r="H153" i="2"/>
  <c r="I153" i="2" s="1"/>
  <c r="H152" i="2"/>
  <c r="I152" i="2" s="1"/>
  <c r="I151" i="2"/>
  <c r="H151" i="2"/>
  <c r="H150" i="2"/>
  <c r="I150" i="2" s="1"/>
  <c r="H149" i="2"/>
  <c r="I149" i="2" s="1"/>
  <c r="H148" i="2"/>
  <c r="I148" i="2" s="1"/>
  <c r="H147" i="2"/>
  <c r="I147" i="2" s="1"/>
  <c r="H146" i="2"/>
  <c r="I146" i="2" s="1"/>
  <c r="H145" i="2"/>
  <c r="I145" i="2" s="1"/>
  <c r="H144" i="2"/>
  <c r="I144" i="2" s="1"/>
  <c r="I143" i="2"/>
  <c r="H143" i="2"/>
  <c r="H142" i="2"/>
  <c r="I142" i="2" s="1"/>
  <c r="H141" i="2"/>
  <c r="I141" i="2" s="1"/>
  <c r="H140" i="2"/>
  <c r="I140" i="2" s="1"/>
  <c r="H139" i="2"/>
  <c r="I139" i="2" s="1"/>
  <c r="H138" i="2"/>
  <c r="I138" i="2" s="1"/>
  <c r="H137" i="2"/>
  <c r="I137" i="2" s="1"/>
  <c r="H136" i="2"/>
  <c r="I136" i="2" s="1"/>
  <c r="I135" i="2"/>
  <c r="H135" i="2"/>
  <c r="H134" i="2"/>
  <c r="I134" i="2" s="1"/>
  <c r="H133" i="2"/>
  <c r="I133" i="2" s="1"/>
  <c r="H132" i="2"/>
  <c r="I132" i="2" s="1"/>
  <c r="H131" i="2"/>
  <c r="I131" i="2" s="1"/>
  <c r="H130" i="2"/>
  <c r="I130" i="2" s="1"/>
  <c r="H129" i="2"/>
  <c r="I129" i="2" s="1"/>
  <c r="H128" i="2"/>
  <c r="I128" i="2" s="1"/>
  <c r="I127" i="2"/>
  <c r="H127" i="2"/>
  <c r="H126" i="2"/>
  <c r="I126" i="2" s="1"/>
  <c r="H125" i="2"/>
  <c r="I125" i="2" s="1"/>
  <c r="H124" i="2"/>
  <c r="I124" i="2" s="1"/>
  <c r="H123" i="2"/>
  <c r="I123" i="2" s="1"/>
  <c r="H122" i="2"/>
  <c r="I122" i="2" s="1"/>
  <c r="H121" i="2"/>
  <c r="I121" i="2" s="1"/>
  <c r="H120" i="2"/>
  <c r="I120" i="2" s="1"/>
  <c r="I119" i="2"/>
  <c r="H119" i="2"/>
  <c r="H118" i="2"/>
  <c r="I118" i="2" s="1"/>
  <c r="H117" i="2"/>
  <c r="I117" i="2" s="1"/>
  <c r="H116" i="2"/>
  <c r="I116" i="2" s="1"/>
  <c r="H115" i="2"/>
  <c r="I115" i="2" s="1"/>
  <c r="H114" i="2"/>
  <c r="I114" i="2" s="1"/>
  <c r="H113" i="2"/>
  <c r="I113" i="2" s="1"/>
  <c r="H112" i="2"/>
  <c r="I112" i="2" s="1"/>
  <c r="I111" i="2"/>
  <c r="H111" i="2"/>
  <c r="H110" i="2"/>
  <c r="I110" i="2" s="1"/>
  <c r="H109" i="2"/>
  <c r="I109" i="2" s="1"/>
  <c r="H108" i="2"/>
  <c r="I108" i="2" s="1"/>
  <c r="H107" i="2"/>
  <c r="I107" i="2" s="1"/>
  <c r="H106" i="2"/>
  <c r="I106" i="2" s="1"/>
  <c r="H105" i="2"/>
  <c r="I105" i="2" s="1"/>
  <c r="H104" i="2"/>
  <c r="I104" i="2" s="1"/>
  <c r="I103" i="2"/>
  <c r="H103" i="2"/>
  <c r="H102" i="2"/>
  <c r="I102" i="2" s="1"/>
  <c r="H101" i="2"/>
  <c r="I101" i="2" s="1"/>
  <c r="H100" i="2"/>
  <c r="I100" i="2" s="1"/>
  <c r="H99" i="2"/>
  <c r="I99" i="2" s="1"/>
  <c r="H98" i="2"/>
  <c r="I98" i="2" s="1"/>
  <c r="H97" i="2"/>
  <c r="I97" i="2" s="1"/>
  <c r="H96" i="2"/>
  <c r="I96" i="2" s="1"/>
  <c r="I95" i="2"/>
  <c r="H95" i="2"/>
  <c r="H94" i="2"/>
  <c r="I94" i="2" s="1"/>
  <c r="H93" i="2"/>
  <c r="I93" i="2" s="1"/>
  <c r="H92" i="2"/>
  <c r="I92" i="2" s="1"/>
  <c r="H91" i="2"/>
  <c r="I91" i="2" s="1"/>
  <c r="H90" i="2"/>
  <c r="I90" i="2" s="1"/>
  <c r="H89" i="2"/>
  <c r="I89" i="2" s="1"/>
  <c r="H88" i="2"/>
  <c r="I88" i="2" s="1"/>
  <c r="I87" i="2"/>
  <c r="H87" i="2"/>
  <c r="H86" i="2"/>
  <c r="I86" i="2" s="1"/>
  <c r="H85" i="2"/>
  <c r="I85" i="2" s="1"/>
  <c r="H84" i="2"/>
  <c r="I84" i="2" s="1"/>
  <c r="H83" i="2"/>
  <c r="I83" i="2" s="1"/>
  <c r="H82" i="2"/>
  <c r="I82" i="2" s="1"/>
  <c r="H81" i="2"/>
  <c r="I81" i="2" s="1"/>
  <c r="H80" i="2"/>
  <c r="I80" i="2" s="1"/>
  <c r="I79" i="2"/>
  <c r="H79" i="2"/>
  <c r="H78" i="2"/>
  <c r="I78" i="2" s="1"/>
  <c r="H77" i="2"/>
  <c r="I77" i="2" s="1"/>
  <c r="H76" i="2"/>
  <c r="I76" i="2" s="1"/>
  <c r="H75" i="2"/>
  <c r="I75" i="2" s="1"/>
  <c r="H74" i="2"/>
  <c r="I74" i="2" s="1"/>
  <c r="H73" i="2"/>
  <c r="I73" i="2" s="1"/>
  <c r="H72" i="2"/>
  <c r="I72" i="2" s="1"/>
  <c r="I71" i="2"/>
  <c r="H71" i="2"/>
  <c r="H70" i="2"/>
  <c r="I70" i="2" s="1"/>
  <c r="H69" i="2"/>
  <c r="I69" i="2" s="1"/>
  <c r="H68" i="2"/>
  <c r="I68" i="2" s="1"/>
  <c r="H67" i="2"/>
  <c r="I67" i="2" s="1"/>
  <c r="H66" i="2"/>
  <c r="I66" i="2" s="1"/>
  <c r="H65" i="2"/>
  <c r="I65" i="2" s="1"/>
  <c r="H64" i="2"/>
  <c r="I64" i="2" s="1"/>
  <c r="I63" i="2"/>
  <c r="H63" i="2"/>
  <c r="H62" i="2"/>
  <c r="I62" i="2" s="1"/>
  <c r="H61" i="2"/>
  <c r="I61" i="2" s="1"/>
  <c r="H60" i="2"/>
  <c r="I60" i="2" s="1"/>
  <c r="H59" i="2"/>
  <c r="I59" i="2" s="1"/>
  <c r="H58" i="2"/>
  <c r="I58" i="2" s="1"/>
  <c r="H57" i="2"/>
  <c r="I57" i="2" s="1"/>
  <c r="H56" i="2"/>
  <c r="I56" i="2" s="1"/>
  <c r="I55" i="2"/>
  <c r="H55" i="2"/>
  <c r="H54" i="2"/>
  <c r="I54" i="2" s="1"/>
  <c r="H53" i="2"/>
  <c r="I53" i="2" s="1"/>
  <c r="H52" i="2"/>
  <c r="I52" i="2" s="1"/>
  <c r="H51" i="2"/>
  <c r="I51" i="2" s="1"/>
  <c r="H50" i="2"/>
  <c r="I50" i="2" s="1"/>
  <c r="H49" i="2"/>
  <c r="I49" i="2" s="1"/>
  <c r="H48" i="2"/>
  <c r="I48" i="2" s="1"/>
  <c r="I47" i="2"/>
  <c r="H47" i="2"/>
  <c r="H46" i="2"/>
  <c r="I46" i="2" s="1"/>
  <c r="H45" i="2"/>
  <c r="I45" i="2" s="1"/>
  <c r="H44" i="2"/>
  <c r="I44" i="2" s="1"/>
  <c r="H43" i="2"/>
  <c r="I43" i="2" s="1"/>
  <c r="H42" i="2"/>
  <c r="I42" i="2" s="1"/>
  <c r="H41" i="2"/>
  <c r="I41" i="2" s="1"/>
  <c r="H40" i="2"/>
  <c r="I40" i="2" s="1"/>
  <c r="I39" i="2"/>
  <c r="H39" i="2"/>
  <c r="H38" i="2"/>
  <c r="I38" i="2" s="1"/>
  <c r="H37" i="2"/>
  <c r="I37" i="2" s="1"/>
  <c r="H36" i="2"/>
  <c r="I36" i="2" s="1"/>
  <c r="H35" i="2"/>
  <c r="I35" i="2" s="1"/>
  <c r="H34" i="2"/>
  <c r="I34" i="2" s="1"/>
  <c r="H33" i="2"/>
  <c r="I33" i="2" s="1"/>
  <c r="H32" i="2"/>
  <c r="I32" i="2" s="1"/>
  <c r="I31" i="2"/>
  <c r="H31" i="2"/>
  <c r="H30" i="2"/>
  <c r="I30" i="2" s="1"/>
  <c r="H29" i="2"/>
  <c r="I29" i="2" s="1"/>
  <c r="H28" i="2"/>
  <c r="I28" i="2" s="1"/>
  <c r="H27" i="2"/>
  <c r="I27" i="2" s="1"/>
  <c r="H26" i="2"/>
  <c r="I26" i="2" s="1"/>
  <c r="H25" i="2"/>
  <c r="I25" i="2" s="1"/>
  <c r="H24" i="2"/>
  <c r="I24" i="2" s="1"/>
  <c r="I23" i="2"/>
  <c r="H23" i="2"/>
  <c r="H22" i="2"/>
  <c r="I22" i="2" s="1"/>
  <c r="H21" i="2"/>
  <c r="I21" i="2" s="1"/>
  <c r="H20" i="2"/>
  <c r="I20" i="2" s="1"/>
  <c r="H19" i="2"/>
  <c r="I19" i="2" s="1"/>
  <c r="H18" i="2"/>
  <c r="I18" i="2" s="1"/>
  <c r="H17" i="2"/>
  <c r="I17" i="2" s="1"/>
  <c r="H16" i="2"/>
  <c r="I16" i="2" s="1"/>
  <c r="I15" i="2"/>
  <c r="H15" i="2"/>
  <c r="H14" i="2"/>
  <c r="I14" i="2" s="1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I7" i="2"/>
  <c r="H7" i="2"/>
  <c r="H6" i="2"/>
  <c r="I6" i="2" s="1"/>
  <c r="H5" i="2"/>
  <c r="I5" i="2" s="1"/>
  <c r="H4" i="2"/>
  <c r="I4" i="2" s="1"/>
  <c r="H3" i="2"/>
  <c r="I3" i="2" s="1"/>
  <c r="H2" i="2"/>
  <c r="I2" i="2" s="1"/>
</calcChain>
</file>

<file path=xl/sharedStrings.xml><?xml version="1.0" encoding="utf-8"?>
<sst xmlns="http://schemas.openxmlformats.org/spreadsheetml/2006/main" count="1447" uniqueCount="139">
  <si>
    <t>Invoice Status</t>
  </si>
  <si>
    <t>Open</t>
  </si>
  <si>
    <t>Sum of Invoice Amount</t>
  </si>
  <si>
    <t>Column Labels</t>
  </si>
  <si>
    <t>Row Labels</t>
  </si>
  <si>
    <t>90+ Days</t>
  </si>
  <si>
    <t>Grand Total</t>
  </si>
  <si>
    <t>M/S SANGRI LA NUTRI FOOD PRODUCTS</t>
  </si>
  <si>
    <t>M/S MOHANAH ENTERPRISES</t>
  </si>
  <si>
    <t>M/S HOMERA PACKAGERS</t>
  </si>
  <si>
    <t>M/S ASOKA PACKAGING SOLUTIONS</t>
  </si>
  <si>
    <t>M/S BHOLE PACKAGING</t>
  </si>
  <si>
    <t>M/S MANISH TRADING CO.</t>
  </si>
  <si>
    <t>M/S GANPATI GRAPHICS</t>
  </si>
  <si>
    <t>M/S SRI SHAKTI PACKAGERS</t>
  </si>
  <si>
    <t>M/S UNIVERSAL PACKAGING PRODUCTS</t>
  </si>
  <si>
    <t>M/S M A PACKAGERS</t>
  </si>
  <si>
    <t>Invoice No</t>
  </si>
  <si>
    <t>Customer Name</t>
  </si>
  <si>
    <t>Invoice Date</t>
  </si>
  <si>
    <t>Invoice Amount</t>
  </si>
  <si>
    <t>Payment Terms</t>
  </si>
  <si>
    <t>Due Date</t>
  </si>
  <si>
    <t>Days Overdue</t>
  </si>
  <si>
    <t>Aging Bucket</t>
  </si>
  <si>
    <t>M/S KAPOOR STATIONERS</t>
  </si>
  <si>
    <t>M/S ARIES PACKAGERS</t>
  </si>
  <si>
    <t>Closed</t>
  </si>
  <si>
    <t>M/S PATEL PACKAGERS</t>
  </si>
  <si>
    <t>M/S NEW AGARWAL UDYOG</t>
  </si>
  <si>
    <t>M/S OVIO SALES</t>
  </si>
  <si>
    <t>M/S PADMALAYA PACKAGING INDUSTRIES</t>
  </si>
  <si>
    <t>M/S M &amp; M BOX INDUSTRIES</t>
  </si>
  <si>
    <t>M/S MAZDA PACKWELL</t>
  </si>
  <si>
    <t>M/S PAWAN UDYOG</t>
  </si>
  <si>
    <t>M/S S K PACKAGES</t>
  </si>
  <si>
    <t>M/S SANDEV INDUSTRIES</t>
  </si>
  <si>
    <t>M/S AL-MAZ CORRUGATORS PRIVATE LIMITED</t>
  </si>
  <si>
    <t>M/S GALAXY LEATHER &amp; PACKAGES</t>
  </si>
  <si>
    <t>M/S EXCEL PACKAGERS</t>
  </si>
  <si>
    <t>M/S WONDER PACKAGERS</t>
  </si>
  <si>
    <t>M/S PACK TEK</t>
  </si>
  <si>
    <t>M/S SHAKSONS INTERNATIONAL</t>
  </si>
  <si>
    <t>M/S BALAJI PAPER INDUSTRIES</t>
  </si>
  <si>
    <t>M/S S S INDUSTRIES</t>
  </si>
  <si>
    <t>M/S KWALITY STATIONERS</t>
  </si>
  <si>
    <t>M/S SHIV SAMADHA ENTERPRISES</t>
  </si>
  <si>
    <t>M/S JAGAT PACKERS</t>
  </si>
  <si>
    <t>M/S Khatu Shyam Boxes</t>
  </si>
  <si>
    <t>M/S STAR PACKAGERS</t>
  </si>
  <si>
    <t>M/S A R B PACKAGING</t>
  </si>
  <si>
    <t>M/S SUNSHINE TRADERS</t>
  </si>
  <si>
    <t>M/S Shree Anjani Packagers</t>
  </si>
  <si>
    <t>M/S DEEPAK PAPER &amp; STATIONERS</t>
  </si>
  <si>
    <t>M/S V S PACKERS</t>
  </si>
  <si>
    <t>M/S MARWAHA BROTHERS</t>
  </si>
  <si>
    <t>M/S RAHMAN INDUSTRIES LTD.</t>
  </si>
  <si>
    <t>M/S Excellent Packaging Industries</t>
  </si>
  <si>
    <t>M/S DAYAL BOARD MILLS</t>
  </si>
  <si>
    <t>M/S VISHNU BOXES &amp; CARTONS</t>
  </si>
  <si>
    <t>M/S B B N PRINTERS</t>
  </si>
  <si>
    <t>M/S TANBRO PACKAGING PVT LTD</t>
  </si>
  <si>
    <t>M/S GANGA ENTERPRISES</t>
  </si>
  <si>
    <t>M/S Jolly Enterprises</t>
  </si>
  <si>
    <t>M/S AGARWAL PAPER MART</t>
  </si>
  <si>
    <t>M/S SIDDHARTHA PACKAGERS</t>
  </si>
  <si>
    <t>M/S COLOUR &amp; CRAFT</t>
  </si>
  <si>
    <t>M/S JMD SALES</t>
  </si>
  <si>
    <t>M/S SHRI RAM CRAFT PACKAGING</t>
  </si>
  <si>
    <t>M/S ENGINEERS INDIA</t>
  </si>
  <si>
    <t>M/S BALAJEE PACKAGERS</t>
  </si>
  <si>
    <t>M/S KUNAL PACKAGING</t>
  </si>
  <si>
    <t>M/S GANESHA ECOSPHERE LTD.</t>
  </si>
  <si>
    <t>M/S BABA BOX INDUSTRIES</t>
  </si>
  <si>
    <t>M/S RISHAB PACKAGERS</t>
  </si>
  <si>
    <t>M/S SHREE RADHEY INDUSTRIES</t>
  </si>
  <si>
    <t>M/S MARUTI INDUSTRIES</t>
  </si>
  <si>
    <t>M/S RAMBHA ENTERPRISES.</t>
  </si>
  <si>
    <t>M/S GALAXY CORRU PACKS</t>
  </si>
  <si>
    <t>M/S K R K INDUSTRIES</t>
  </si>
  <si>
    <t>M/S R N K PRODUCTS</t>
  </si>
  <si>
    <t>M/S JANTA PACKAGING</t>
  </si>
  <si>
    <t>M/S AMAR L TRADERS</t>
  </si>
  <si>
    <t>M/S AMRIT CARTONS</t>
  </si>
  <si>
    <t>M/S DIMPLE PACKAGING</t>
  </si>
  <si>
    <t>M/S GALAXY PACKAGING</t>
  </si>
  <si>
    <t>M/S SHREE BHAGYA LAXMI INDUSTRIES</t>
  </si>
  <si>
    <t>M/S SHRI VJV ENTERPRISES</t>
  </si>
  <si>
    <t>M/S Chandra Box Industries</t>
  </si>
  <si>
    <t>M/S V R PACKAGING</t>
  </si>
  <si>
    <t>M/S ANKUR PACKAGING INDUSTRIES</t>
  </si>
  <si>
    <t>M/S SHREE GANPATI  INDUSTRIES</t>
  </si>
  <si>
    <t>M/S PACKFORD PACKAGERS</t>
  </si>
  <si>
    <t>M/S VARDHMAN TRADERS</t>
  </si>
  <si>
    <t>M/S JYOTI PRINT PACKS</t>
  </si>
  <si>
    <t>M/S JAIN PACKING INDUSTRIES SHIKOHABAD</t>
  </si>
  <si>
    <t>M/S  KRISHNA PACKAGING</t>
  </si>
  <si>
    <t>M/S KANHA ENTERPRISES</t>
  </si>
  <si>
    <t>M/S Shivay Printers and Packagers</t>
  </si>
  <si>
    <t>M/S V I P FINE PAPER CO</t>
  </si>
  <si>
    <t>M/S TECHNO PRINTERS</t>
  </si>
  <si>
    <t>M/S MASHQ ENTERPRISES</t>
  </si>
  <si>
    <t>M/S SS CORPORATE PRINT HOUSE(P)LTD.</t>
  </si>
  <si>
    <t>M/S SAGAR TRADING CO.</t>
  </si>
  <si>
    <t>M/S ARK INTERNATIONAL</t>
  </si>
  <si>
    <t>M/S SUN PRINTERS</t>
  </si>
  <si>
    <t>M/S SWADESHI TRADERS</t>
  </si>
  <si>
    <t>M/S LAXMI PACKAGING</t>
  </si>
  <si>
    <t>M/S Siddharth Paper Cards</t>
  </si>
  <si>
    <t>M/S SHIKHA LAMINATOR</t>
  </si>
  <si>
    <t>M/S SUNSHINE PACKAGERS</t>
  </si>
  <si>
    <t>M/S SARAN PACKAGES</t>
  </si>
  <si>
    <t>M/S Durga Industries</t>
  </si>
  <si>
    <t>M/S PRIYANSHU &amp; CO</t>
  </si>
  <si>
    <t>M/S SUDARSHAN UDYOG.</t>
  </si>
  <si>
    <t>M/S AMAR PACKAGERS</t>
  </si>
  <si>
    <t>M/S UNIVERSAL PACKAGING</t>
  </si>
  <si>
    <t>M/S  XENRISE INDUSTRIES</t>
  </si>
  <si>
    <t>M/S WIN PACK INDUSTRIES</t>
  </si>
  <si>
    <t>M/S SAWARIYA TRADERS</t>
  </si>
  <si>
    <t>M/S GURUKUL ENTERPRISES</t>
  </si>
  <si>
    <t>M/S  PACK SAFE</t>
  </si>
  <si>
    <t>M/S JAY BHOLEY ENTERPRISES</t>
  </si>
  <si>
    <t>M/S VIDYA PACKAGERS</t>
  </si>
  <si>
    <t>M/S SPIPICK FOODS L L P</t>
  </si>
  <si>
    <t>M/S SHRI BALAJI ENTERPRISES</t>
  </si>
  <si>
    <t>M/S CLASSICA PACKAGING</t>
  </si>
  <si>
    <t>Cancelled Bill</t>
  </si>
  <si>
    <t>M/S PRAKHYAT BOX INDUSTRIES PRIVATE LIMITED</t>
  </si>
  <si>
    <t>Gautam Developers</t>
  </si>
  <si>
    <t>Manish Enterprises</t>
  </si>
  <si>
    <t>S V Printers &amp; Packagers ( P ) Ltd</t>
  </si>
  <si>
    <t>M/S SHARDA PACKAGING PVT.LTD.</t>
  </si>
  <si>
    <t>M/S  SWASTIK OFFSET</t>
  </si>
  <si>
    <t>M/S ANIL STATIONERY CENTRE</t>
  </si>
  <si>
    <t>M/S VINOD STATIONERS</t>
  </si>
  <si>
    <t>M/S GARIMA PRINTERS AND PACKAGINGS</t>
  </si>
  <si>
    <t>M/S Leo Packaging Industries</t>
  </si>
  <si>
    <t>M/S FINEPACK INDUSTRIES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</si>
</sst>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 &quot;[$₹-4009]&quot; &quot;* #,##0&quot; &quot;;&quot; &quot;[$₹-4009]&quot; &quot;* &quot;-&quot;#,##0&quot; &quot;;&quot; &quot;[$₹-4009]&quot; &quot;* &quot;- &quot;;&quot; &quot;@&quot; &quot;"/>
  </numFmts>
  <fonts count="3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FFFFFF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FFFFFF"/>
      </top>
      <bottom/>
      <diagonal/>
    </border>
    <border>
      <left style="thin">
        <color rgb="FFABABAB"/>
      </left>
      <right style="thin">
        <color rgb="FFABABAB"/>
      </right>
      <top style="thin">
        <color rgb="FFFFFFFF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left"/>
    </xf>
    <xf numFmtId="164" fontId="0" fillId="0" borderId="2" xfId="0" applyNumberFormat="1" applyBorder="1"/>
    <xf numFmtId="164" fontId="0" fillId="0" borderId="4" xfId="0" applyNumberFormat="1" applyBorder="1"/>
    <xf numFmtId="0" fontId="0" fillId="0" borderId="5" xfId="0" applyBorder="1" applyAlignment="1">
      <alignment horizontal="left"/>
    </xf>
    <xf numFmtId="164" fontId="0" fillId="0" borderId="5" xfId="0" applyNumberFormat="1" applyBorder="1"/>
    <xf numFmtId="164" fontId="0" fillId="0" borderId="6" xfId="0" applyNumberFormat="1" applyBorder="1"/>
    <xf numFmtId="0" fontId="0" fillId="0" borderId="7" xfId="0" applyBorder="1" applyAlignment="1">
      <alignment horizontal="left"/>
    </xf>
    <xf numFmtId="164" fontId="0" fillId="0" borderId="7" xfId="0" applyNumberFormat="1" applyBorder="1"/>
    <xf numFmtId="164" fontId="0" fillId="0" borderId="1" xfId="0" applyNumberFormat="1" applyBorder="1"/>
    <xf numFmtId="0" fontId="1" fillId="2" borderId="0" xfId="0" applyFont="1" applyFill="1"/>
    <xf numFmtId="0" fontId="0" fillId="2" borderId="0" xfId="0" applyFill="1"/>
    <xf numFmtId="14" fontId="0" fillId="0" borderId="0" xfId="0" applyNumberFormat="1"/>
    <xf numFmtId="0" fontId="2" fillId="0" borderId="0" xfId="0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oleObject" Target="NULL" TargetMode="Externa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400" b="0" i="0" u="none" strike="noStrike" kern="1200" spc="0" baseline="0">
                <a:solidFill>
                  <a:srgbClr val="595959"/>
                </a:solidFill>
                <a:latin typeface="Calibri"/>
              </a:defRPr>
            </a:pPr>
            <a:r>
              <a:rPr lang="en-GB" sz="1400" b="0" i="0" u="none" strike="noStrike" kern="1200" cap="none" spc="0" baseline="0">
                <a:solidFill>
                  <a:srgbClr val="595959"/>
                </a:solidFill>
                <a:uFillTx/>
                <a:latin typeface="Calibri"/>
              </a:rPr>
              <a:t>Top 10 Critical Aging Accounts (90+ Days).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90+ Days</c:v>
          </c:tx>
          <c:spPr>
            <a:solidFill>
              <a:srgbClr val="4472C4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900" b="0" i="0" u="none" strike="noStrike" kern="1200" baseline="0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Lit>
              <c:ptCount val="10"/>
              <c:pt idx="0">
                <c:v>M/S SANGRI LA NUTRI FOOD PRODUCTS</c:v>
              </c:pt>
              <c:pt idx="1">
                <c:v>M/S MOHANAH ENTERPRISES</c:v>
              </c:pt>
              <c:pt idx="2">
                <c:v>M/S HOMERA PACKAGERS</c:v>
              </c:pt>
              <c:pt idx="3">
                <c:v>M/S ASOKA PACKAGING SOLUTIONS</c:v>
              </c:pt>
              <c:pt idx="4">
                <c:v>M/S BHOLE PACKAGING</c:v>
              </c:pt>
              <c:pt idx="5">
                <c:v>M/S MANISH TRADING CO.</c:v>
              </c:pt>
              <c:pt idx="6">
                <c:v>M/S GANPATI GRAPHICS</c:v>
              </c:pt>
              <c:pt idx="7">
                <c:v>M/S SRI SHAKTI PACKAGERS</c:v>
              </c:pt>
              <c:pt idx="8">
                <c:v>M/S UNIVERSAL PACKAGING PRODUCTS</c:v>
              </c:pt>
              <c:pt idx="9">
                <c:v>M/S M A PACKAGERS</c:v>
              </c:pt>
            </c:strLit>
          </c:cat>
          <c:val>
            <c:numLit>
              <c:formatCode>General</c:formatCode>
              <c:ptCount val="10"/>
              <c:pt idx="0">
                <c:v>432052</c:v>
              </c:pt>
              <c:pt idx="1">
                <c:v>308928</c:v>
              </c:pt>
              <c:pt idx="2">
                <c:v>271122</c:v>
              </c:pt>
              <c:pt idx="3">
                <c:v>265689</c:v>
              </c:pt>
              <c:pt idx="4">
                <c:v>255547</c:v>
              </c:pt>
              <c:pt idx="5">
                <c:v>252806</c:v>
              </c:pt>
              <c:pt idx="6">
                <c:v>243964</c:v>
              </c:pt>
              <c:pt idx="7">
                <c:v>240459</c:v>
              </c:pt>
              <c:pt idx="8">
                <c:v>222907</c:v>
              </c:pt>
              <c:pt idx="9">
                <c:v>190482</c:v>
              </c:pt>
            </c:numLit>
          </c:val>
          <c:extLst>
            <c:ext xmlns:c16="http://schemas.microsoft.com/office/drawing/2014/chart" uri="{C3380CC4-5D6E-409C-BE32-E72D297353CC}">
              <c16:uniqueId val="{00000000-7F2C-4F97-BB2B-ABB76B534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6601776"/>
        <c:axId val="1676600816"/>
      </c:barChart>
      <c:valAx>
        <c:axId val="1676600816"/>
        <c:scaling>
          <c:orientation val="minMax"/>
        </c:scaling>
        <c:delete val="1"/>
        <c:axPos val="t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numFmt formatCode="&quot; &quot;[$₹-4009]&quot; &quot;;&quot; &quot;[$₹-4009]&quot; &quot;;&quot; &quot;[$₹-4009]&quot; &quot;;&quot; &quot;" sourceLinked="0"/>
        <c:majorTickMark val="none"/>
        <c:minorTickMark val="none"/>
        <c:tickLblPos val="nextTo"/>
        <c:crossAx val="1676601776"/>
        <c:crosses val="autoZero"/>
        <c:crossBetween val="between"/>
      </c:valAx>
      <c:catAx>
        <c:axId val="167660177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676600816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Calibri"/>
        </a:defRPr>
      </a:pPr>
      <a:endParaRPr lang="en-US"/>
    </a:p>
  </c:txPr>
  <c:externalData r:id="rId1">
    <c:autoUpdate val="0"/>
  </c:externalData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47621</xdr:colOff>
      <xdr:row>1</xdr:row>
      <xdr:rowOff>61914</xdr:rowOff>
    </xdr:from>
    <xdr:ext cx="5181603" cy="2743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51A637-D3F9-E472-0C64-540AF83B5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91CF47F9-7D91-44AC-B3BD-93C1DAF710A2}">
  <cacheSource type="worksheet">
    <worksheetSource ref="A1:I1048576" sheet="Invoice_data"/>
  </cacheSource>
  <cacheFields count="9">
    <cacheField name="Invoice Status" numFmtId="0">
      <sharedItems containsNonDate="0" count="1">
        <s v="Open"/>
      </sharedItems>
    </cacheField>
    <cacheField name="Aging Bucket" numFmtId="0">
      <sharedItems containsSemiMixedTypes="0" containsNonDate="0" containsString="0"/>
    </cacheField>
    <cacheField name="Customer Name" numFmtId="0">
      <sharedItems containsSemiMixedTypes="0" containsNonDate="0" containsString="0"/>
    </cacheField>
    <cacheField name="Invoice Amount" numFmtId="0">
      <sharedItems containsSemiMixedTypes="0" containsNonDate="0" containsString="0"/>
    </cacheField>
    <cacheField name="Invoice No" numFmtId="0">
      <sharedItems containsSemiMixedTypes="0" containsNonDate="0" containsString="0"/>
    </cacheField>
    <cacheField name="Invoice Date" numFmtId="0">
      <sharedItems containsSemiMixedTypes="0" containsNonDate="0" containsString="0"/>
    </cacheField>
    <cacheField name="Payment Terms" numFmtId="0">
      <sharedItems containsSemiMixedTypes="0" containsNonDate="0" containsString="0"/>
    </cacheField>
    <cacheField name="Due Date" numFmtId="0">
      <sharedItems containsSemiMixedTypes="0" containsNonDate="0" containsString="0"/>
    </cacheField>
    <cacheField name="Days Overdue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2430D2-8BEC-4938-A441-F290E429AB0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A3:C15" firstHeaderRow="1" firstDataRow="2" firstDataCol="1" rowPageCount="1" colPageCount="1"/>
  <pivotFields count="9">
    <pivotField axis="axisPage" compact="0" showAll="0" includeNewItemsInFilter="1">
      <items count="2">
        <item x="0"/>
        <item t="default"/>
      </items>
    </pivotField>
    <pivotField axis="axisCol" compact="0" showAll="0" includeNewItemsInFilter="1">
      <items count="1">
        <item t="default"/>
      </items>
    </pivotField>
    <pivotField axis="axisRow" compact="0" showAll="0" measureFilter="1" includeNewItemsInFilter="1" sortType="descending">
      <items count="1"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  <pivotField compact="0" showAll="0" includeNewItemsInFilter="1">
      <items count="1">
        <item t="default"/>
      </items>
    </pivotField>
  </pivotFields>
  <rowFields count="1">
    <field x="2"/>
  </rowFields>
  <colFields count="1">
    <field x="1"/>
  </colFields>
  <pageFields count="1">
    <pageField fld="0" item="0" hier="-1"/>
  </pageFields>
  <dataFields count="1">
    <dataField name="Sum of Invoice Amount" fld="3" baseField="3" baseItem="1048828"/>
  </dataFields>
  <pivotTableStyleInfo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12D9C-088C-4D83-BC1E-0B591E53A716}">
  <dimension ref="A1:C15"/>
  <sheetViews>
    <sheetView tabSelected="1" workbookViewId="0"/>
  </sheetViews>
  <sheetFormatPr defaultRowHeight="15"/>
  <cols>
    <col min="1" max="1" width="36.5703125" bestFit="1" customWidth="1"/>
    <col min="2" max="2" width="16.28515625" bestFit="1" customWidth="1"/>
    <col min="3" max="3" width="11.5703125" bestFit="1" customWidth="1"/>
    <col min="4" max="4" width="7.28515625" bestFit="1" customWidth="1"/>
    <col min="5" max="5" width="11.140625" bestFit="1" customWidth="1"/>
    <col min="6" max="6" width="9.140625" customWidth="1"/>
  </cols>
  <sheetData>
    <row r="1" spans="1:3">
      <c r="A1" s="1" t="s">
        <v>0</v>
      </c>
      <c r="B1" s="1" t="s">
        <v>1</v>
      </c>
    </row>
    <row r="3" spans="1:3">
      <c r="A3" s="2" t="s">
        <v>2</v>
      </c>
      <c r="B3" s="2" t="s">
        <v>3</v>
      </c>
      <c r="C3" s="3"/>
    </row>
    <row r="4" spans="1:3">
      <c r="A4" s="2" t="s">
        <v>4</v>
      </c>
      <c r="B4" s="2" t="s">
        <v>5</v>
      </c>
      <c r="C4" s="4" t="s">
        <v>6</v>
      </c>
    </row>
    <row r="5" spans="1:3">
      <c r="A5" s="5" t="s">
        <v>7</v>
      </c>
      <c r="B5" s="6">
        <v>432052</v>
      </c>
      <c r="C5" s="7">
        <v>432052</v>
      </c>
    </row>
    <row r="6" spans="1:3">
      <c r="A6" s="8" t="s">
        <v>8</v>
      </c>
      <c r="B6" s="9">
        <v>308928</v>
      </c>
      <c r="C6" s="10">
        <v>308928</v>
      </c>
    </row>
    <row r="7" spans="1:3">
      <c r="A7" s="8" t="s">
        <v>9</v>
      </c>
      <c r="B7" s="9">
        <v>271122</v>
      </c>
      <c r="C7" s="10">
        <v>271122</v>
      </c>
    </row>
    <row r="8" spans="1:3">
      <c r="A8" s="8" t="s">
        <v>10</v>
      </c>
      <c r="B8" s="9">
        <v>265689</v>
      </c>
      <c r="C8" s="10">
        <v>265689</v>
      </c>
    </row>
    <row r="9" spans="1:3">
      <c r="A9" s="8" t="s">
        <v>11</v>
      </c>
      <c r="B9" s="9">
        <v>255547</v>
      </c>
      <c r="C9" s="10">
        <v>255547</v>
      </c>
    </row>
    <row r="10" spans="1:3">
      <c r="A10" s="8" t="s">
        <v>12</v>
      </c>
      <c r="B10" s="9">
        <v>252806</v>
      </c>
      <c r="C10" s="10">
        <v>252806</v>
      </c>
    </row>
    <row r="11" spans="1:3">
      <c r="A11" s="8" t="s">
        <v>13</v>
      </c>
      <c r="B11" s="9">
        <v>243964</v>
      </c>
      <c r="C11" s="10">
        <v>243964</v>
      </c>
    </row>
    <row r="12" spans="1:3">
      <c r="A12" s="8" t="s">
        <v>14</v>
      </c>
      <c r="B12" s="9">
        <v>240459</v>
      </c>
      <c r="C12" s="10">
        <v>240459</v>
      </c>
    </row>
    <row r="13" spans="1:3">
      <c r="A13" s="8" t="s">
        <v>15</v>
      </c>
      <c r="B13" s="9">
        <v>222907</v>
      </c>
      <c r="C13" s="10">
        <v>222907</v>
      </c>
    </row>
    <row r="14" spans="1:3">
      <c r="A14" s="8" t="s">
        <v>16</v>
      </c>
      <c r="B14" s="9">
        <v>190482</v>
      </c>
      <c r="C14" s="10">
        <v>190482</v>
      </c>
    </row>
    <row r="15" spans="1:3">
      <c r="A15" s="11" t="s">
        <v>6</v>
      </c>
      <c r="B15" s="12">
        <v>2683956</v>
      </c>
      <c r="C15" s="13">
        <v>2683956</v>
      </c>
    </row>
  </sheetData>
  <pageMargins left="0.70000000000000007" right="0.70000000000000007" top="0.75" bottom="0.75" header="0.30000000000000004" footer="0.30000000000000004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ED069-EC49-4803-BA8F-FD2E75B6BB41}">
  <dimension ref="A1:I711"/>
  <sheetViews>
    <sheetView workbookViewId="0"/>
  </sheetViews>
  <sheetFormatPr defaultRowHeight="15"/>
  <cols>
    <col min="1" max="1" width="10.42578125" bestFit="1" customWidth="1"/>
    <col min="2" max="2" width="45.5703125" bestFit="1" customWidth="1"/>
    <col min="3" max="3" width="12" bestFit="1" customWidth="1"/>
    <col min="4" max="4" width="15.140625" bestFit="1" customWidth="1"/>
    <col min="5" max="5" width="14.85546875" bestFit="1" customWidth="1"/>
    <col min="6" max="6" width="13.42578125" bestFit="1" customWidth="1"/>
    <col min="7" max="7" width="10.7109375" bestFit="1" customWidth="1"/>
    <col min="8" max="8" width="13.42578125" bestFit="1" customWidth="1"/>
    <col min="9" max="9" width="12.42578125" bestFit="1" customWidth="1"/>
    <col min="10" max="10" width="9.140625" customWidth="1"/>
  </cols>
  <sheetData>
    <row r="1" spans="1:9" s="15" customFormat="1">
      <c r="A1" s="14" t="s">
        <v>17</v>
      </c>
      <c r="B1" s="14" t="s">
        <v>18</v>
      </c>
      <c r="C1" s="14" t="s">
        <v>19</v>
      </c>
      <c r="D1" s="14" t="s">
        <v>20</v>
      </c>
      <c r="E1" s="15" t="s">
        <v>21</v>
      </c>
      <c r="F1" s="14" t="s">
        <v>0</v>
      </c>
      <c r="G1" s="14" t="s">
        <v>22</v>
      </c>
      <c r="H1" s="14" t="s">
        <v>23</v>
      </c>
      <c r="I1" s="14" t="s">
        <v>24</v>
      </c>
    </row>
    <row r="2" spans="1:9">
      <c r="A2">
        <v>359</v>
      </c>
      <c r="B2" t="s">
        <v>25</v>
      </c>
      <c r="C2" s="16">
        <v>45834</v>
      </c>
      <c r="D2">
        <v>20608</v>
      </c>
      <c r="F2" t="s">
        <v>1</v>
      </c>
      <c r="G2" s="16">
        <v>45841</v>
      </c>
      <c r="H2" s="17">
        <f t="shared" ref="H2:H65" ca="1" si="0">IF(F2="Closed", 0, IF(TODAY()&gt;G2, TODAY()-G2, 0))</f>
        <v>333</v>
      </c>
      <c r="I2" s="17" t="str">
        <f t="shared" ref="I2:I65" ca="1" si="1">IF(H2=0, "Not Overdue", IF(H2&lt;=30, "1-30 Days", IF(H2&lt;=60, "31-60 Days", IF(H2&lt;=90, "61-90 Days", "90+ Days"))))</f>
        <v>90+ Days</v>
      </c>
    </row>
    <row r="3" spans="1:9">
      <c r="A3">
        <v>360</v>
      </c>
      <c r="B3" t="s">
        <v>26</v>
      </c>
      <c r="C3" s="16">
        <v>45834</v>
      </c>
      <c r="D3">
        <v>3664</v>
      </c>
      <c r="F3" t="s">
        <v>27</v>
      </c>
      <c r="G3" s="16">
        <v>45841</v>
      </c>
      <c r="H3" s="17">
        <f t="shared" ca="1" si="0"/>
        <v>0</v>
      </c>
      <c r="I3" s="17" t="str">
        <f t="shared" ca="1" si="1"/>
        <v>Not Overdue</v>
      </c>
    </row>
    <row r="4" spans="1:9">
      <c r="A4">
        <v>361</v>
      </c>
      <c r="B4" t="s">
        <v>28</v>
      </c>
      <c r="C4" s="16">
        <v>45834</v>
      </c>
      <c r="D4">
        <v>15783</v>
      </c>
      <c r="F4" t="s">
        <v>1</v>
      </c>
      <c r="G4" s="16">
        <v>45841</v>
      </c>
      <c r="H4" s="17">
        <f t="shared" ca="1" si="0"/>
        <v>333</v>
      </c>
      <c r="I4" s="17" t="str">
        <f t="shared" ca="1" si="1"/>
        <v>90+ Days</v>
      </c>
    </row>
    <row r="5" spans="1:9">
      <c r="A5">
        <v>362</v>
      </c>
      <c r="B5" t="s">
        <v>16</v>
      </c>
      <c r="C5" s="16">
        <v>45834</v>
      </c>
      <c r="D5">
        <v>5624</v>
      </c>
      <c r="F5" t="s">
        <v>1</v>
      </c>
      <c r="G5" s="16">
        <v>45841</v>
      </c>
      <c r="H5" s="17">
        <f t="shared" ca="1" si="0"/>
        <v>333</v>
      </c>
      <c r="I5" s="17" t="str">
        <f t="shared" ca="1" si="1"/>
        <v>90+ Days</v>
      </c>
    </row>
    <row r="6" spans="1:9">
      <c r="A6">
        <v>363</v>
      </c>
      <c r="B6" t="s">
        <v>29</v>
      </c>
      <c r="C6" s="16">
        <v>45834</v>
      </c>
      <c r="D6">
        <v>12790</v>
      </c>
      <c r="F6" t="s">
        <v>27</v>
      </c>
      <c r="G6" s="16">
        <v>45841</v>
      </c>
      <c r="H6" s="17">
        <f t="shared" ca="1" si="0"/>
        <v>0</v>
      </c>
      <c r="I6" s="17" t="str">
        <f t="shared" ca="1" si="1"/>
        <v>Not Overdue</v>
      </c>
    </row>
    <row r="7" spans="1:9">
      <c r="A7">
        <v>364</v>
      </c>
      <c r="B7" t="s">
        <v>30</v>
      </c>
      <c r="C7" s="16">
        <v>45834</v>
      </c>
      <c r="D7">
        <v>10573</v>
      </c>
      <c r="F7" t="s">
        <v>27</v>
      </c>
      <c r="G7" s="16">
        <v>45841</v>
      </c>
      <c r="H7" s="17">
        <f t="shared" ca="1" si="0"/>
        <v>0</v>
      </c>
      <c r="I7" s="17" t="str">
        <f t="shared" ca="1" si="1"/>
        <v>Not Overdue</v>
      </c>
    </row>
    <row r="8" spans="1:9">
      <c r="A8">
        <v>365</v>
      </c>
      <c r="B8" t="s">
        <v>31</v>
      </c>
      <c r="C8" s="16">
        <v>45835</v>
      </c>
      <c r="D8">
        <v>6451</v>
      </c>
      <c r="F8" t="s">
        <v>27</v>
      </c>
      <c r="G8" s="16">
        <v>45842</v>
      </c>
      <c r="H8" s="17">
        <f t="shared" ca="1" si="0"/>
        <v>0</v>
      </c>
      <c r="I8" s="17" t="str">
        <f t="shared" ca="1" si="1"/>
        <v>Not Overdue</v>
      </c>
    </row>
    <row r="9" spans="1:9">
      <c r="A9">
        <v>366</v>
      </c>
      <c r="B9" t="s">
        <v>32</v>
      </c>
      <c r="C9" s="16">
        <v>45835</v>
      </c>
      <c r="D9">
        <v>4069</v>
      </c>
      <c r="F9" t="s">
        <v>1</v>
      </c>
      <c r="G9" s="16">
        <v>45842</v>
      </c>
      <c r="H9" s="17">
        <f t="shared" ca="1" si="0"/>
        <v>332</v>
      </c>
      <c r="I9" s="17" t="str">
        <f t="shared" ca="1" si="1"/>
        <v>90+ Days</v>
      </c>
    </row>
    <row r="10" spans="1:9">
      <c r="A10">
        <v>367</v>
      </c>
      <c r="B10" t="s">
        <v>33</v>
      </c>
      <c r="C10" s="16">
        <v>45835</v>
      </c>
      <c r="D10">
        <v>18770</v>
      </c>
      <c r="F10" t="s">
        <v>27</v>
      </c>
      <c r="G10" s="16">
        <v>45842</v>
      </c>
      <c r="H10" s="17">
        <f t="shared" ca="1" si="0"/>
        <v>0</v>
      </c>
      <c r="I10" s="17" t="str">
        <f t="shared" ca="1" si="1"/>
        <v>Not Overdue</v>
      </c>
    </row>
    <row r="11" spans="1:9">
      <c r="A11">
        <v>368</v>
      </c>
      <c r="B11" t="s">
        <v>34</v>
      </c>
      <c r="C11" s="16">
        <v>45835</v>
      </c>
      <c r="D11">
        <v>19096</v>
      </c>
      <c r="F11" t="s">
        <v>1</v>
      </c>
      <c r="G11" s="16">
        <v>45842</v>
      </c>
      <c r="H11" s="17">
        <f t="shared" ca="1" si="0"/>
        <v>332</v>
      </c>
      <c r="I11" s="17" t="str">
        <f t="shared" ca="1" si="1"/>
        <v>90+ Days</v>
      </c>
    </row>
    <row r="12" spans="1:9">
      <c r="A12">
        <v>369</v>
      </c>
      <c r="B12" t="s">
        <v>35</v>
      </c>
      <c r="C12" s="16">
        <v>45835</v>
      </c>
      <c r="D12">
        <v>9552</v>
      </c>
      <c r="F12" t="s">
        <v>27</v>
      </c>
      <c r="G12" s="16">
        <v>45842</v>
      </c>
      <c r="H12" s="17">
        <f t="shared" ca="1" si="0"/>
        <v>0</v>
      </c>
      <c r="I12" s="17" t="str">
        <f t="shared" ca="1" si="1"/>
        <v>Not Overdue</v>
      </c>
    </row>
    <row r="13" spans="1:9">
      <c r="A13">
        <v>370</v>
      </c>
      <c r="B13" t="s">
        <v>36</v>
      </c>
      <c r="C13" s="16">
        <v>45836</v>
      </c>
      <c r="D13">
        <v>22031</v>
      </c>
      <c r="F13" t="s">
        <v>1</v>
      </c>
      <c r="G13" s="16">
        <v>45843</v>
      </c>
      <c r="H13" s="17">
        <f t="shared" ca="1" si="0"/>
        <v>331</v>
      </c>
      <c r="I13" s="17" t="str">
        <f t="shared" ca="1" si="1"/>
        <v>90+ Days</v>
      </c>
    </row>
    <row r="14" spans="1:9">
      <c r="A14">
        <v>371</v>
      </c>
      <c r="B14" t="s">
        <v>37</v>
      </c>
      <c r="C14" s="16">
        <v>45836</v>
      </c>
      <c r="D14">
        <v>4044</v>
      </c>
      <c r="F14" t="s">
        <v>27</v>
      </c>
      <c r="G14" s="16">
        <v>45843</v>
      </c>
      <c r="H14" s="17">
        <f t="shared" ca="1" si="0"/>
        <v>0</v>
      </c>
      <c r="I14" s="17" t="str">
        <f t="shared" ca="1" si="1"/>
        <v>Not Overdue</v>
      </c>
    </row>
    <row r="15" spans="1:9">
      <c r="A15">
        <v>372</v>
      </c>
      <c r="B15" t="s">
        <v>37</v>
      </c>
      <c r="C15" s="16">
        <v>45836</v>
      </c>
      <c r="D15">
        <v>10976</v>
      </c>
      <c r="F15" t="s">
        <v>27</v>
      </c>
      <c r="G15" s="16">
        <v>45843</v>
      </c>
      <c r="H15" s="17">
        <f t="shared" ca="1" si="0"/>
        <v>0</v>
      </c>
      <c r="I15" s="17" t="str">
        <f t="shared" ca="1" si="1"/>
        <v>Not Overdue</v>
      </c>
    </row>
    <row r="16" spans="1:9">
      <c r="A16">
        <v>373</v>
      </c>
      <c r="B16" t="s">
        <v>38</v>
      </c>
      <c r="C16" s="16">
        <v>45838</v>
      </c>
      <c r="D16">
        <v>10528</v>
      </c>
      <c r="F16" t="s">
        <v>27</v>
      </c>
      <c r="G16" s="16">
        <v>45868</v>
      </c>
      <c r="H16" s="17">
        <f t="shared" ca="1" si="0"/>
        <v>0</v>
      </c>
      <c r="I16" s="17" t="str">
        <f t="shared" ca="1" si="1"/>
        <v>Not Overdue</v>
      </c>
    </row>
    <row r="17" spans="1:9">
      <c r="A17">
        <v>374</v>
      </c>
      <c r="B17" t="s">
        <v>39</v>
      </c>
      <c r="C17" s="16">
        <v>45838</v>
      </c>
      <c r="D17">
        <v>1089</v>
      </c>
      <c r="F17" t="s">
        <v>27</v>
      </c>
      <c r="G17" s="16">
        <v>45868</v>
      </c>
      <c r="H17" s="17">
        <f t="shared" ca="1" si="0"/>
        <v>0</v>
      </c>
      <c r="I17" s="17" t="str">
        <f t="shared" ca="1" si="1"/>
        <v>Not Overdue</v>
      </c>
    </row>
    <row r="18" spans="1:9">
      <c r="A18">
        <v>375</v>
      </c>
      <c r="B18" t="s">
        <v>40</v>
      </c>
      <c r="C18" s="16">
        <v>45838</v>
      </c>
      <c r="D18">
        <v>3490</v>
      </c>
      <c r="F18" t="s">
        <v>1</v>
      </c>
      <c r="G18" s="16">
        <v>45868</v>
      </c>
      <c r="H18" s="17">
        <f t="shared" ca="1" si="0"/>
        <v>306</v>
      </c>
      <c r="I18" s="17" t="str">
        <f t="shared" ca="1" si="1"/>
        <v>90+ Days</v>
      </c>
    </row>
    <row r="19" spans="1:9">
      <c r="A19">
        <v>376</v>
      </c>
      <c r="B19" t="s">
        <v>40</v>
      </c>
      <c r="C19" s="16">
        <v>45838</v>
      </c>
      <c r="D19">
        <v>10752</v>
      </c>
      <c r="F19" t="s">
        <v>27</v>
      </c>
      <c r="G19" s="16">
        <v>45868</v>
      </c>
      <c r="H19" s="17">
        <f t="shared" ca="1" si="0"/>
        <v>0</v>
      </c>
      <c r="I19" s="17" t="str">
        <f t="shared" ca="1" si="1"/>
        <v>Not Overdue</v>
      </c>
    </row>
    <row r="20" spans="1:9">
      <c r="A20">
        <v>377</v>
      </c>
      <c r="B20" t="s">
        <v>41</v>
      </c>
      <c r="C20" s="16">
        <v>45838</v>
      </c>
      <c r="D20">
        <v>5824</v>
      </c>
      <c r="F20" t="s">
        <v>27</v>
      </c>
      <c r="G20" s="16">
        <v>45845</v>
      </c>
      <c r="H20" s="17">
        <f t="shared" ca="1" si="0"/>
        <v>0</v>
      </c>
      <c r="I20" s="17" t="str">
        <f t="shared" ca="1" si="1"/>
        <v>Not Overdue</v>
      </c>
    </row>
    <row r="21" spans="1:9">
      <c r="A21">
        <v>378</v>
      </c>
      <c r="B21" t="s">
        <v>42</v>
      </c>
      <c r="C21" s="16">
        <v>45838</v>
      </c>
      <c r="D21">
        <v>9912</v>
      </c>
      <c r="F21" t="s">
        <v>27</v>
      </c>
      <c r="G21" s="16">
        <v>45845</v>
      </c>
      <c r="H21" s="17">
        <f t="shared" ca="1" si="0"/>
        <v>0</v>
      </c>
      <c r="I21" s="17" t="str">
        <f t="shared" ca="1" si="1"/>
        <v>Not Overdue</v>
      </c>
    </row>
    <row r="22" spans="1:9">
      <c r="A22">
        <v>379</v>
      </c>
      <c r="B22" t="s">
        <v>43</v>
      </c>
      <c r="C22" s="16">
        <v>45839</v>
      </c>
      <c r="D22">
        <v>10831</v>
      </c>
      <c r="F22" t="s">
        <v>1</v>
      </c>
      <c r="G22" s="16">
        <v>45869</v>
      </c>
      <c r="H22" s="17">
        <f t="shared" ca="1" si="0"/>
        <v>305</v>
      </c>
      <c r="I22" s="17" t="str">
        <f t="shared" ca="1" si="1"/>
        <v>90+ Days</v>
      </c>
    </row>
    <row r="23" spans="1:9">
      <c r="A23">
        <v>380</v>
      </c>
      <c r="B23" t="s">
        <v>10</v>
      </c>
      <c r="C23" s="16">
        <v>45839</v>
      </c>
      <c r="D23">
        <v>13146</v>
      </c>
      <c r="F23" t="s">
        <v>27</v>
      </c>
      <c r="G23" s="16">
        <v>45846</v>
      </c>
      <c r="H23" s="17">
        <f t="shared" ca="1" si="0"/>
        <v>0</v>
      </c>
      <c r="I23" s="17" t="str">
        <f t="shared" ca="1" si="1"/>
        <v>Not Overdue</v>
      </c>
    </row>
    <row r="24" spans="1:9">
      <c r="A24">
        <v>381</v>
      </c>
      <c r="B24" t="s">
        <v>44</v>
      </c>
      <c r="C24" s="16">
        <v>45839</v>
      </c>
      <c r="D24">
        <v>3709</v>
      </c>
      <c r="F24" t="s">
        <v>27</v>
      </c>
      <c r="G24" s="16">
        <v>45846</v>
      </c>
      <c r="H24" s="17">
        <f t="shared" ca="1" si="0"/>
        <v>0</v>
      </c>
      <c r="I24" s="17" t="str">
        <f t="shared" ca="1" si="1"/>
        <v>Not Overdue</v>
      </c>
    </row>
    <row r="25" spans="1:9">
      <c r="A25">
        <v>382</v>
      </c>
      <c r="B25" t="s">
        <v>44</v>
      </c>
      <c r="C25" s="16">
        <v>45839</v>
      </c>
      <c r="D25">
        <v>3293</v>
      </c>
      <c r="F25" t="s">
        <v>1</v>
      </c>
      <c r="G25" s="16">
        <v>45846</v>
      </c>
      <c r="H25" s="17">
        <f t="shared" ca="1" si="0"/>
        <v>328</v>
      </c>
      <c r="I25" s="17" t="str">
        <f t="shared" ca="1" si="1"/>
        <v>90+ Days</v>
      </c>
    </row>
    <row r="26" spans="1:9">
      <c r="A26">
        <v>383</v>
      </c>
      <c r="B26" t="s">
        <v>12</v>
      </c>
      <c r="C26" s="16">
        <v>45839</v>
      </c>
      <c r="D26">
        <v>5841</v>
      </c>
      <c r="F26" t="s">
        <v>27</v>
      </c>
      <c r="G26" s="16">
        <v>45869</v>
      </c>
      <c r="H26" s="17">
        <f t="shared" ca="1" si="0"/>
        <v>0</v>
      </c>
      <c r="I26" s="17" t="str">
        <f t="shared" ca="1" si="1"/>
        <v>Not Overdue</v>
      </c>
    </row>
    <row r="27" spans="1:9">
      <c r="A27">
        <v>385</v>
      </c>
      <c r="B27" t="s">
        <v>14</v>
      </c>
      <c r="C27" s="16">
        <v>45840</v>
      </c>
      <c r="D27">
        <v>6911</v>
      </c>
      <c r="F27" t="s">
        <v>1</v>
      </c>
      <c r="G27" s="16">
        <v>45870</v>
      </c>
      <c r="H27" s="17">
        <f t="shared" ca="1" si="0"/>
        <v>304</v>
      </c>
      <c r="I27" s="17" t="str">
        <f t="shared" ca="1" si="1"/>
        <v>90+ Days</v>
      </c>
    </row>
    <row r="28" spans="1:9">
      <c r="A28">
        <v>386</v>
      </c>
      <c r="B28" t="s">
        <v>14</v>
      </c>
      <c r="C28" s="16">
        <v>45840</v>
      </c>
      <c r="D28">
        <v>32256</v>
      </c>
      <c r="F28" t="s">
        <v>1</v>
      </c>
      <c r="G28" s="16">
        <v>45870</v>
      </c>
      <c r="H28" s="17">
        <f t="shared" ca="1" si="0"/>
        <v>304</v>
      </c>
      <c r="I28" s="17" t="str">
        <f t="shared" ca="1" si="1"/>
        <v>90+ Days</v>
      </c>
    </row>
    <row r="29" spans="1:9">
      <c r="A29">
        <v>388</v>
      </c>
      <c r="B29" t="s">
        <v>11</v>
      </c>
      <c r="C29" s="16">
        <v>45840</v>
      </c>
      <c r="D29">
        <v>4777</v>
      </c>
      <c r="F29" t="s">
        <v>1</v>
      </c>
      <c r="G29" s="16">
        <v>45870</v>
      </c>
      <c r="H29" s="17">
        <f t="shared" ca="1" si="0"/>
        <v>304</v>
      </c>
      <c r="I29" s="17" t="str">
        <f t="shared" ca="1" si="1"/>
        <v>90+ Days</v>
      </c>
    </row>
    <row r="30" spans="1:9">
      <c r="A30">
        <v>389</v>
      </c>
      <c r="B30" t="s">
        <v>44</v>
      </c>
      <c r="C30" s="16">
        <v>45840</v>
      </c>
      <c r="D30">
        <v>5207</v>
      </c>
      <c r="F30" t="s">
        <v>1</v>
      </c>
      <c r="G30" s="16">
        <v>45847</v>
      </c>
      <c r="H30" s="17">
        <f t="shared" ca="1" si="0"/>
        <v>327</v>
      </c>
      <c r="I30" s="17" t="str">
        <f t="shared" ca="1" si="1"/>
        <v>90+ Days</v>
      </c>
    </row>
    <row r="31" spans="1:9">
      <c r="A31">
        <v>390</v>
      </c>
      <c r="B31" t="s">
        <v>45</v>
      </c>
      <c r="C31" s="16">
        <v>45840</v>
      </c>
      <c r="D31">
        <v>10304</v>
      </c>
      <c r="F31" t="s">
        <v>1</v>
      </c>
      <c r="G31" s="16">
        <v>45870</v>
      </c>
      <c r="H31" s="17">
        <f t="shared" ca="1" si="0"/>
        <v>304</v>
      </c>
      <c r="I31" s="17" t="str">
        <f t="shared" ca="1" si="1"/>
        <v>90+ Days</v>
      </c>
    </row>
    <row r="32" spans="1:9">
      <c r="A32">
        <v>391</v>
      </c>
      <c r="B32" t="s">
        <v>46</v>
      </c>
      <c r="C32" s="16">
        <v>45840</v>
      </c>
      <c r="D32">
        <v>3789</v>
      </c>
      <c r="F32" t="s">
        <v>27</v>
      </c>
      <c r="G32" s="16">
        <v>45870</v>
      </c>
      <c r="H32" s="17">
        <f t="shared" ca="1" si="0"/>
        <v>0</v>
      </c>
      <c r="I32" s="17" t="str">
        <f t="shared" ca="1" si="1"/>
        <v>Not Overdue</v>
      </c>
    </row>
    <row r="33" spans="1:9">
      <c r="A33">
        <v>387</v>
      </c>
      <c r="B33" t="s">
        <v>15</v>
      </c>
      <c r="C33" s="16">
        <v>45840</v>
      </c>
      <c r="D33">
        <v>16317</v>
      </c>
      <c r="F33" t="s">
        <v>1</v>
      </c>
      <c r="G33" s="16">
        <v>45870</v>
      </c>
      <c r="H33" s="17">
        <f t="shared" ca="1" si="0"/>
        <v>304</v>
      </c>
      <c r="I33" s="17" t="str">
        <f t="shared" ca="1" si="1"/>
        <v>90+ Days</v>
      </c>
    </row>
    <row r="34" spans="1:9">
      <c r="A34">
        <v>394</v>
      </c>
      <c r="B34" t="s">
        <v>7</v>
      </c>
      <c r="C34" s="16">
        <v>45840</v>
      </c>
      <c r="D34">
        <v>2419</v>
      </c>
      <c r="F34" t="s">
        <v>27</v>
      </c>
      <c r="G34" s="16">
        <v>45870</v>
      </c>
      <c r="H34" s="17">
        <f t="shared" ca="1" si="0"/>
        <v>0</v>
      </c>
      <c r="I34" s="17" t="str">
        <f t="shared" ca="1" si="1"/>
        <v>Not Overdue</v>
      </c>
    </row>
    <row r="35" spans="1:9">
      <c r="A35">
        <v>392</v>
      </c>
      <c r="B35" t="s">
        <v>47</v>
      </c>
      <c r="C35" s="16">
        <v>45841</v>
      </c>
      <c r="D35">
        <v>3767</v>
      </c>
      <c r="F35" t="s">
        <v>1</v>
      </c>
      <c r="G35" s="16">
        <v>45871</v>
      </c>
      <c r="H35" s="17">
        <f t="shared" ca="1" si="0"/>
        <v>303</v>
      </c>
      <c r="I35" s="17" t="str">
        <f t="shared" ca="1" si="1"/>
        <v>90+ Days</v>
      </c>
    </row>
    <row r="36" spans="1:9">
      <c r="A36">
        <v>393</v>
      </c>
      <c r="B36" t="s">
        <v>47</v>
      </c>
      <c r="C36" s="16">
        <v>45841</v>
      </c>
      <c r="D36">
        <v>5015</v>
      </c>
      <c r="F36" t="s">
        <v>1</v>
      </c>
      <c r="G36" s="16">
        <v>45871</v>
      </c>
      <c r="H36" s="17">
        <f t="shared" ca="1" si="0"/>
        <v>303</v>
      </c>
      <c r="I36" s="17" t="str">
        <f t="shared" ca="1" si="1"/>
        <v>90+ Days</v>
      </c>
    </row>
    <row r="37" spans="1:9">
      <c r="A37">
        <v>395</v>
      </c>
      <c r="B37" t="s">
        <v>8</v>
      </c>
      <c r="C37" s="16">
        <v>45841</v>
      </c>
      <c r="D37">
        <v>9401</v>
      </c>
      <c r="F37" t="s">
        <v>1</v>
      </c>
      <c r="G37" s="16">
        <v>45871</v>
      </c>
      <c r="H37" s="17">
        <f t="shared" ca="1" si="0"/>
        <v>303</v>
      </c>
      <c r="I37" s="17" t="str">
        <f t="shared" ca="1" si="1"/>
        <v>90+ Days</v>
      </c>
    </row>
    <row r="38" spans="1:9">
      <c r="A38">
        <v>396</v>
      </c>
      <c r="B38" t="s">
        <v>29</v>
      </c>
      <c r="C38" s="16">
        <v>45841</v>
      </c>
      <c r="D38">
        <v>5376</v>
      </c>
      <c r="F38" t="s">
        <v>27</v>
      </c>
      <c r="G38" s="16">
        <v>45848</v>
      </c>
      <c r="H38" s="17">
        <f t="shared" ca="1" si="0"/>
        <v>0</v>
      </c>
      <c r="I38" s="17" t="str">
        <f t="shared" ca="1" si="1"/>
        <v>Not Overdue</v>
      </c>
    </row>
    <row r="39" spans="1:9">
      <c r="A39">
        <v>397</v>
      </c>
      <c r="B39" t="s">
        <v>48</v>
      </c>
      <c r="C39" s="16">
        <v>45841</v>
      </c>
      <c r="D39">
        <v>3221</v>
      </c>
      <c r="F39" t="s">
        <v>27</v>
      </c>
      <c r="G39" s="16">
        <v>45871</v>
      </c>
      <c r="H39" s="17">
        <f t="shared" ca="1" si="0"/>
        <v>0</v>
      </c>
      <c r="I39" s="17" t="str">
        <f t="shared" ca="1" si="1"/>
        <v>Not Overdue</v>
      </c>
    </row>
    <row r="40" spans="1:9">
      <c r="A40">
        <v>398</v>
      </c>
      <c r="B40" t="s">
        <v>48</v>
      </c>
      <c r="C40" s="16">
        <v>45841</v>
      </c>
      <c r="D40">
        <v>1801</v>
      </c>
      <c r="F40" t="s">
        <v>27</v>
      </c>
      <c r="G40" s="16">
        <v>45871</v>
      </c>
      <c r="H40" s="17">
        <f t="shared" ca="1" si="0"/>
        <v>0</v>
      </c>
      <c r="I40" s="17" t="str">
        <f t="shared" ca="1" si="1"/>
        <v>Not Overdue</v>
      </c>
    </row>
    <row r="41" spans="1:9">
      <c r="A41">
        <v>399</v>
      </c>
      <c r="B41" t="s">
        <v>49</v>
      </c>
      <c r="C41" s="16">
        <v>45841</v>
      </c>
      <c r="D41">
        <v>16048</v>
      </c>
      <c r="F41" t="s">
        <v>1</v>
      </c>
      <c r="G41" s="16">
        <v>45871</v>
      </c>
      <c r="H41" s="17">
        <f t="shared" ca="1" si="0"/>
        <v>303</v>
      </c>
      <c r="I41" s="17" t="str">
        <f t="shared" ca="1" si="1"/>
        <v>90+ Days</v>
      </c>
    </row>
    <row r="42" spans="1:9">
      <c r="A42">
        <v>400</v>
      </c>
      <c r="B42" t="s">
        <v>50</v>
      </c>
      <c r="C42" s="16">
        <v>45842</v>
      </c>
      <c r="D42">
        <v>21952</v>
      </c>
      <c r="F42" t="s">
        <v>27</v>
      </c>
      <c r="G42" s="16">
        <v>45872</v>
      </c>
      <c r="H42" s="17">
        <f t="shared" ca="1" si="0"/>
        <v>0</v>
      </c>
      <c r="I42" s="17" t="str">
        <f t="shared" ca="1" si="1"/>
        <v>Not Overdue</v>
      </c>
    </row>
    <row r="43" spans="1:9">
      <c r="A43">
        <v>401</v>
      </c>
      <c r="B43" t="s">
        <v>50</v>
      </c>
      <c r="C43" s="16">
        <v>45842</v>
      </c>
      <c r="D43">
        <v>19799</v>
      </c>
      <c r="F43" t="s">
        <v>27</v>
      </c>
      <c r="G43" s="16">
        <v>45872</v>
      </c>
      <c r="H43" s="17">
        <f t="shared" ca="1" si="0"/>
        <v>0</v>
      </c>
      <c r="I43" s="17" t="str">
        <f t="shared" ca="1" si="1"/>
        <v>Not Overdue</v>
      </c>
    </row>
    <row r="44" spans="1:9">
      <c r="A44">
        <v>402</v>
      </c>
      <c r="B44" t="s">
        <v>51</v>
      </c>
      <c r="C44" s="16">
        <v>45842</v>
      </c>
      <c r="D44">
        <v>20608</v>
      </c>
      <c r="F44" t="s">
        <v>1</v>
      </c>
      <c r="G44" s="16">
        <v>45872</v>
      </c>
      <c r="H44" s="17">
        <f t="shared" ca="1" si="0"/>
        <v>302</v>
      </c>
      <c r="I44" s="17" t="str">
        <f t="shared" ca="1" si="1"/>
        <v>90+ Days</v>
      </c>
    </row>
    <row r="45" spans="1:9">
      <c r="A45">
        <v>403</v>
      </c>
      <c r="B45" t="s">
        <v>52</v>
      </c>
      <c r="C45" s="16">
        <v>45842</v>
      </c>
      <c r="D45">
        <v>8232</v>
      </c>
      <c r="F45" t="s">
        <v>1</v>
      </c>
      <c r="G45" s="16">
        <v>45872</v>
      </c>
      <c r="H45" s="17">
        <f t="shared" ca="1" si="0"/>
        <v>302</v>
      </c>
      <c r="I45" s="17" t="str">
        <f t="shared" ca="1" si="1"/>
        <v>90+ Days</v>
      </c>
    </row>
    <row r="46" spans="1:9">
      <c r="A46">
        <v>404</v>
      </c>
      <c r="B46" t="s">
        <v>52</v>
      </c>
      <c r="C46" s="16">
        <v>45842</v>
      </c>
      <c r="D46">
        <v>26307</v>
      </c>
      <c r="F46" t="s">
        <v>1</v>
      </c>
      <c r="G46" s="16">
        <v>45872</v>
      </c>
      <c r="H46" s="17">
        <f t="shared" ca="1" si="0"/>
        <v>302</v>
      </c>
      <c r="I46" s="17" t="str">
        <f t="shared" ca="1" si="1"/>
        <v>90+ Days</v>
      </c>
    </row>
    <row r="47" spans="1:9">
      <c r="A47">
        <v>405</v>
      </c>
      <c r="B47" t="s">
        <v>11</v>
      </c>
      <c r="C47" s="16">
        <v>45842</v>
      </c>
      <c r="D47">
        <v>9527</v>
      </c>
      <c r="F47" t="s">
        <v>1</v>
      </c>
      <c r="G47" s="16">
        <v>45872</v>
      </c>
      <c r="H47" s="17">
        <f t="shared" ca="1" si="0"/>
        <v>302</v>
      </c>
      <c r="I47" s="17" t="str">
        <f t="shared" ca="1" si="1"/>
        <v>90+ Days</v>
      </c>
    </row>
    <row r="48" spans="1:9">
      <c r="A48">
        <v>406</v>
      </c>
      <c r="B48" t="s">
        <v>53</v>
      </c>
      <c r="C48" s="16">
        <v>45842</v>
      </c>
      <c r="D48">
        <v>6490</v>
      </c>
      <c r="F48" t="s">
        <v>27</v>
      </c>
      <c r="G48" s="16">
        <v>45872</v>
      </c>
      <c r="H48" s="17">
        <f t="shared" ca="1" si="0"/>
        <v>0</v>
      </c>
      <c r="I48" s="17" t="str">
        <f t="shared" ca="1" si="1"/>
        <v>Not Overdue</v>
      </c>
    </row>
    <row r="49" spans="1:9">
      <c r="A49">
        <v>407</v>
      </c>
      <c r="B49" t="s">
        <v>54</v>
      </c>
      <c r="C49" s="16">
        <v>45842</v>
      </c>
      <c r="D49">
        <v>3898</v>
      </c>
      <c r="F49" t="s">
        <v>27</v>
      </c>
      <c r="G49" s="16">
        <v>45872</v>
      </c>
      <c r="H49" s="17">
        <f t="shared" ca="1" si="0"/>
        <v>0</v>
      </c>
      <c r="I49" s="17" t="str">
        <f t="shared" ca="1" si="1"/>
        <v>Not Overdue</v>
      </c>
    </row>
    <row r="50" spans="1:9">
      <c r="A50">
        <v>408</v>
      </c>
      <c r="B50" t="s">
        <v>55</v>
      </c>
      <c r="C50" s="16">
        <v>45843</v>
      </c>
      <c r="D50">
        <v>21952</v>
      </c>
      <c r="F50" t="s">
        <v>1</v>
      </c>
      <c r="G50" s="16">
        <v>45850</v>
      </c>
      <c r="H50" s="17">
        <f t="shared" ca="1" si="0"/>
        <v>324</v>
      </c>
      <c r="I50" s="17" t="str">
        <f t="shared" ca="1" si="1"/>
        <v>90+ Days</v>
      </c>
    </row>
    <row r="51" spans="1:9">
      <c r="A51">
        <v>409</v>
      </c>
      <c r="B51" t="s">
        <v>56</v>
      </c>
      <c r="C51" s="16">
        <v>45846</v>
      </c>
      <c r="D51">
        <v>6700</v>
      </c>
      <c r="F51" t="s">
        <v>27</v>
      </c>
      <c r="G51" s="16">
        <v>45876</v>
      </c>
      <c r="H51" s="17">
        <f t="shared" ca="1" si="0"/>
        <v>0</v>
      </c>
      <c r="I51" s="17" t="str">
        <f t="shared" ca="1" si="1"/>
        <v>Not Overdue</v>
      </c>
    </row>
    <row r="52" spans="1:9">
      <c r="A52">
        <v>410</v>
      </c>
      <c r="B52" t="s">
        <v>53</v>
      </c>
      <c r="C52" s="16">
        <v>45846</v>
      </c>
      <c r="D52">
        <v>15624</v>
      </c>
      <c r="F52" t="s">
        <v>1</v>
      </c>
      <c r="G52" s="16">
        <v>45876</v>
      </c>
      <c r="H52" s="17">
        <f t="shared" ca="1" si="0"/>
        <v>298</v>
      </c>
      <c r="I52" s="17" t="str">
        <f t="shared" ca="1" si="1"/>
        <v>90+ Days</v>
      </c>
    </row>
    <row r="53" spans="1:9">
      <c r="A53">
        <v>411</v>
      </c>
      <c r="B53" t="s">
        <v>12</v>
      </c>
      <c r="C53" s="16">
        <v>45846</v>
      </c>
      <c r="D53">
        <v>7661</v>
      </c>
      <c r="F53" t="s">
        <v>1</v>
      </c>
      <c r="G53" s="16">
        <v>45876</v>
      </c>
      <c r="H53" s="17">
        <f t="shared" ca="1" si="0"/>
        <v>298</v>
      </c>
      <c r="I53" s="17" t="str">
        <f t="shared" ca="1" si="1"/>
        <v>90+ Days</v>
      </c>
    </row>
    <row r="54" spans="1:9">
      <c r="A54">
        <v>412</v>
      </c>
      <c r="B54" t="s">
        <v>57</v>
      </c>
      <c r="C54" s="16">
        <v>45846</v>
      </c>
      <c r="D54">
        <v>50857</v>
      </c>
      <c r="F54" t="s">
        <v>27</v>
      </c>
      <c r="G54" s="16">
        <v>45876</v>
      </c>
      <c r="H54" s="17">
        <f t="shared" ca="1" si="0"/>
        <v>0</v>
      </c>
      <c r="I54" s="17" t="str">
        <f t="shared" ca="1" si="1"/>
        <v>Not Overdue</v>
      </c>
    </row>
    <row r="55" spans="1:9">
      <c r="A55">
        <v>413</v>
      </c>
      <c r="B55" t="s">
        <v>58</v>
      </c>
      <c r="C55" s="16">
        <v>45846</v>
      </c>
      <c r="D55">
        <v>15466</v>
      </c>
      <c r="F55" t="s">
        <v>27</v>
      </c>
      <c r="G55" s="16">
        <v>45876</v>
      </c>
      <c r="H55" s="17">
        <f t="shared" ca="1" si="0"/>
        <v>0</v>
      </c>
      <c r="I55" s="17" t="str">
        <f t="shared" ca="1" si="1"/>
        <v>Not Overdue</v>
      </c>
    </row>
    <row r="56" spans="1:9">
      <c r="A56">
        <v>414</v>
      </c>
      <c r="B56" t="s">
        <v>59</v>
      </c>
      <c r="C56" s="16">
        <v>45846</v>
      </c>
      <c r="D56">
        <v>14318</v>
      </c>
      <c r="F56" t="s">
        <v>1</v>
      </c>
      <c r="G56" s="16">
        <v>45876</v>
      </c>
      <c r="H56" s="17">
        <f t="shared" ca="1" si="0"/>
        <v>298</v>
      </c>
      <c r="I56" s="17" t="str">
        <f t="shared" ca="1" si="1"/>
        <v>90+ Days</v>
      </c>
    </row>
    <row r="57" spans="1:9">
      <c r="A57">
        <v>415</v>
      </c>
      <c r="B57" t="s">
        <v>8</v>
      </c>
      <c r="C57" s="16">
        <v>45846</v>
      </c>
      <c r="D57">
        <v>9401</v>
      </c>
      <c r="F57" t="s">
        <v>1</v>
      </c>
      <c r="G57" s="16">
        <v>45876</v>
      </c>
      <c r="H57" s="17">
        <f t="shared" ca="1" si="0"/>
        <v>298</v>
      </c>
      <c r="I57" s="17" t="str">
        <f t="shared" ca="1" si="1"/>
        <v>90+ Days</v>
      </c>
    </row>
    <row r="58" spans="1:9">
      <c r="A58">
        <v>416</v>
      </c>
      <c r="B58" t="s">
        <v>60</v>
      </c>
      <c r="C58" s="16">
        <v>45846</v>
      </c>
      <c r="D58">
        <v>12692</v>
      </c>
      <c r="F58" t="s">
        <v>1</v>
      </c>
      <c r="G58" s="16">
        <v>45876</v>
      </c>
      <c r="H58" s="17">
        <f t="shared" ca="1" si="0"/>
        <v>298</v>
      </c>
      <c r="I58" s="17" t="str">
        <f t="shared" ca="1" si="1"/>
        <v>90+ Days</v>
      </c>
    </row>
    <row r="59" spans="1:9">
      <c r="A59">
        <v>417</v>
      </c>
      <c r="B59" t="s">
        <v>11</v>
      </c>
      <c r="C59" s="16">
        <v>45847</v>
      </c>
      <c r="D59">
        <v>14153</v>
      </c>
      <c r="F59" t="s">
        <v>1</v>
      </c>
      <c r="G59" s="16">
        <v>45877</v>
      </c>
      <c r="H59" s="17">
        <f t="shared" ca="1" si="0"/>
        <v>297</v>
      </c>
      <c r="I59" s="17" t="str">
        <f t="shared" ca="1" si="1"/>
        <v>90+ Days</v>
      </c>
    </row>
    <row r="60" spans="1:9">
      <c r="A60">
        <v>418</v>
      </c>
      <c r="B60" t="s">
        <v>61</v>
      </c>
      <c r="C60" s="16">
        <v>45847</v>
      </c>
      <c r="D60">
        <v>16870</v>
      </c>
      <c r="F60" t="s">
        <v>1</v>
      </c>
      <c r="G60" s="16">
        <v>45877</v>
      </c>
      <c r="H60" s="17">
        <f t="shared" ca="1" si="0"/>
        <v>297</v>
      </c>
      <c r="I60" s="17" t="str">
        <f t="shared" ca="1" si="1"/>
        <v>90+ Days</v>
      </c>
    </row>
    <row r="61" spans="1:9">
      <c r="A61">
        <v>419</v>
      </c>
      <c r="B61" t="s">
        <v>61</v>
      </c>
      <c r="C61" s="16">
        <v>45847</v>
      </c>
      <c r="D61">
        <v>11424</v>
      </c>
      <c r="F61" t="s">
        <v>1</v>
      </c>
      <c r="G61" s="16">
        <v>45877</v>
      </c>
      <c r="H61" s="17">
        <f t="shared" ca="1" si="0"/>
        <v>297</v>
      </c>
      <c r="I61" s="17" t="str">
        <f t="shared" ca="1" si="1"/>
        <v>90+ Days</v>
      </c>
    </row>
    <row r="62" spans="1:9">
      <c r="A62">
        <v>420</v>
      </c>
      <c r="B62" t="s">
        <v>62</v>
      </c>
      <c r="C62" s="16">
        <v>45847</v>
      </c>
      <c r="D62">
        <v>3749</v>
      </c>
      <c r="F62" t="s">
        <v>27</v>
      </c>
      <c r="G62" s="16">
        <v>45877</v>
      </c>
      <c r="H62" s="17">
        <f t="shared" ca="1" si="0"/>
        <v>0</v>
      </c>
      <c r="I62" s="17" t="str">
        <f t="shared" ca="1" si="1"/>
        <v>Not Overdue</v>
      </c>
    </row>
    <row r="63" spans="1:9">
      <c r="A63">
        <v>421</v>
      </c>
      <c r="B63" t="s">
        <v>63</v>
      </c>
      <c r="C63" s="16">
        <v>45847</v>
      </c>
      <c r="D63">
        <v>10752</v>
      </c>
      <c r="F63" t="s">
        <v>27</v>
      </c>
      <c r="G63" s="16">
        <v>45877</v>
      </c>
      <c r="H63" s="17">
        <f t="shared" ca="1" si="0"/>
        <v>0</v>
      </c>
      <c r="I63" s="17" t="str">
        <f t="shared" ca="1" si="1"/>
        <v>Not Overdue</v>
      </c>
    </row>
    <row r="64" spans="1:9">
      <c r="A64">
        <v>422</v>
      </c>
      <c r="B64" t="s">
        <v>64</v>
      </c>
      <c r="C64" s="16">
        <v>45847</v>
      </c>
      <c r="D64">
        <v>15456</v>
      </c>
      <c r="F64" t="s">
        <v>27</v>
      </c>
      <c r="G64" s="16">
        <v>45877</v>
      </c>
      <c r="H64" s="17">
        <f t="shared" ca="1" si="0"/>
        <v>0</v>
      </c>
      <c r="I64" s="17" t="str">
        <f t="shared" ca="1" si="1"/>
        <v>Not Overdue</v>
      </c>
    </row>
    <row r="65" spans="1:9">
      <c r="A65">
        <v>423</v>
      </c>
      <c r="B65" t="s">
        <v>65</v>
      </c>
      <c r="C65" s="16">
        <v>45847</v>
      </c>
      <c r="D65">
        <v>10752</v>
      </c>
      <c r="F65" t="s">
        <v>27</v>
      </c>
      <c r="G65" s="16">
        <v>45877</v>
      </c>
      <c r="H65" s="17">
        <f t="shared" ca="1" si="0"/>
        <v>0</v>
      </c>
      <c r="I65" s="17" t="str">
        <f t="shared" ca="1" si="1"/>
        <v>Not Overdue</v>
      </c>
    </row>
    <row r="66" spans="1:9">
      <c r="A66">
        <v>424</v>
      </c>
      <c r="B66" t="s">
        <v>13</v>
      </c>
      <c r="C66" s="16">
        <v>45847</v>
      </c>
      <c r="D66">
        <v>41947</v>
      </c>
      <c r="F66" t="s">
        <v>27</v>
      </c>
      <c r="G66" s="16">
        <v>45877</v>
      </c>
      <c r="H66" s="17">
        <f t="shared" ref="H66:H129" ca="1" si="2">IF(F66="Closed", 0, IF(TODAY()&gt;G66, TODAY()-G66, 0))</f>
        <v>0</v>
      </c>
      <c r="I66" s="17" t="str">
        <f t="shared" ref="I66:I129" ca="1" si="3">IF(H66=0, "Not Overdue", IF(H66&lt;=30, "1-30 Days", IF(H66&lt;=60, "31-60 Days", IF(H66&lt;=90, "61-90 Days", "90+ Days"))))</f>
        <v>Not Overdue</v>
      </c>
    </row>
    <row r="67" spans="1:9">
      <c r="A67">
        <v>425</v>
      </c>
      <c r="B67" t="s">
        <v>9</v>
      </c>
      <c r="C67" s="16">
        <v>45848</v>
      </c>
      <c r="D67">
        <v>10502</v>
      </c>
      <c r="F67" t="s">
        <v>27</v>
      </c>
      <c r="G67" s="16">
        <v>45878</v>
      </c>
      <c r="H67" s="17">
        <f t="shared" ca="1" si="2"/>
        <v>0</v>
      </c>
      <c r="I67" s="17" t="str">
        <f t="shared" ca="1" si="3"/>
        <v>Not Overdue</v>
      </c>
    </row>
    <row r="68" spans="1:9">
      <c r="A68">
        <v>426</v>
      </c>
      <c r="B68" t="s">
        <v>66</v>
      </c>
      <c r="C68" s="16">
        <v>45848</v>
      </c>
      <c r="D68">
        <v>4902</v>
      </c>
      <c r="F68" t="s">
        <v>1</v>
      </c>
      <c r="G68" s="16">
        <v>45878</v>
      </c>
      <c r="H68" s="17">
        <f t="shared" ca="1" si="2"/>
        <v>296</v>
      </c>
      <c r="I68" s="17" t="str">
        <f t="shared" ca="1" si="3"/>
        <v>90+ Days</v>
      </c>
    </row>
    <row r="69" spans="1:9">
      <c r="A69">
        <v>427</v>
      </c>
      <c r="B69" t="s">
        <v>67</v>
      </c>
      <c r="C69" s="16">
        <v>45848</v>
      </c>
      <c r="D69">
        <v>2744</v>
      </c>
      <c r="F69" t="s">
        <v>27</v>
      </c>
      <c r="G69" s="16">
        <v>45878</v>
      </c>
      <c r="H69" s="17">
        <f t="shared" ca="1" si="2"/>
        <v>0</v>
      </c>
      <c r="I69" s="17" t="str">
        <f t="shared" ca="1" si="3"/>
        <v>Not Overdue</v>
      </c>
    </row>
    <row r="70" spans="1:9">
      <c r="A70">
        <v>428</v>
      </c>
      <c r="B70" t="s">
        <v>68</v>
      </c>
      <c r="C70" s="16">
        <v>45851</v>
      </c>
      <c r="D70">
        <v>6451</v>
      </c>
      <c r="F70" t="s">
        <v>27</v>
      </c>
      <c r="G70" s="16">
        <v>45881</v>
      </c>
      <c r="H70" s="17">
        <f t="shared" ca="1" si="2"/>
        <v>0</v>
      </c>
      <c r="I70" s="17" t="str">
        <f t="shared" ca="1" si="3"/>
        <v>Not Overdue</v>
      </c>
    </row>
    <row r="71" spans="1:9">
      <c r="A71">
        <v>429</v>
      </c>
      <c r="B71" t="s">
        <v>69</v>
      </c>
      <c r="C71" s="16">
        <v>45852</v>
      </c>
      <c r="D71">
        <v>7517</v>
      </c>
      <c r="F71" t="s">
        <v>1</v>
      </c>
      <c r="G71" s="16">
        <v>45882</v>
      </c>
      <c r="H71" s="17">
        <f t="shared" ca="1" si="2"/>
        <v>292</v>
      </c>
      <c r="I71" s="17" t="str">
        <f t="shared" ca="1" si="3"/>
        <v>90+ Days</v>
      </c>
    </row>
    <row r="72" spans="1:9">
      <c r="A72">
        <v>430</v>
      </c>
      <c r="B72" t="s">
        <v>16</v>
      </c>
      <c r="C72" s="16">
        <v>45852</v>
      </c>
      <c r="D72">
        <v>10659</v>
      </c>
      <c r="F72" t="s">
        <v>1</v>
      </c>
      <c r="G72" s="16">
        <v>45859</v>
      </c>
      <c r="H72" s="17">
        <f t="shared" ca="1" si="2"/>
        <v>315</v>
      </c>
      <c r="I72" s="17" t="str">
        <f t="shared" ca="1" si="3"/>
        <v>90+ Days</v>
      </c>
    </row>
    <row r="73" spans="1:9">
      <c r="A73">
        <v>431</v>
      </c>
      <c r="B73" t="s">
        <v>16</v>
      </c>
      <c r="C73" s="16">
        <v>45852</v>
      </c>
      <c r="D73">
        <v>10976</v>
      </c>
      <c r="F73" t="s">
        <v>1</v>
      </c>
      <c r="G73" s="16">
        <v>45859</v>
      </c>
      <c r="H73" s="17">
        <f t="shared" ca="1" si="2"/>
        <v>315</v>
      </c>
      <c r="I73" s="17" t="str">
        <f t="shared" ca="1" si="3"/>
        <v>90+ Days</v>
      </c>
    </row>
    <row r="74" spans="1:9">
      <c r="A74">
        <v>432</v>
      </c>
      <c r="B74" t="s">
        <v>54</v>
      </c>
      <c r="C74" s="16">
        <v>45852</v>
      </c>
      <c r="D74">
        <v>3606</v>
      </c>
      <c r="F74" t="s">
        <v>1</v>
      </c>
      <c r="G74" s="16">
        <v>45882</v>
      </c>
      <c r="H74" s="17">
        <f t="shared" ca="1" si="2"/>
        <v>292</v>
      </c>
      <c r="I74" s="17" t="str">
        <f t="shared" ca="1" si="3"/>
        <v>90+ Days</v>
      </c>
    </row>
    <row r="75" spans="1:9">
      <c r="A75">
        <v>433</v>
      </c>
      <c r="B75" t="s">
        <v>54</v>
      </c>
      <c r="C75" s="16">
        <v>45852</v>
      </c>
      <c r="D75">
        <v>3810</v>
      </c>
      <c r="F75" t="s">
        <v>1</v>
      </c>
      <c r="G75" s="16">
        <v>45882</v>
      </c>
      <c r="H75" s="17">
        <f t="shared" ca="1" si="2"/>
        <v>292</v>
      </c>
      <c r="I75" s="17" t="str">
        <f t="shared" ca="1" si="3"/>
        <v>90+ Days</v>
      </c>
    </row>
    <row r="76" spans="1:9">
      <c r="A76">
        <v>434</v>
      </c>
      <c r="B76" t="s">
        <v>70</v>
      </c>
      <c r="C76" s="16">
        <v>45853</v>
      </c>
      <c r="D76">
        <v>19799</v>
      </c>
      <c r="F76" t="s">
        <v>27</v>
      </c>
      <c r="G76" s="16">
        <v>45883</v>
      </c>
      <c r="H76" s="17">
        <f t="shared" ca="1" si="2"/>
        <v>0</v>
      </c>
      <c r="I76" s="17" t="str">
        <f t="shared" ca="1" si="3"/>
        <v>Not Overdue</v>
      </c>
    </row>
    <row r="77" spans="1:9">
      <c r="A77">
        <v>435</v>
      </c>
      <c r="B77" t="s">
        <v>71</v>
      </c>
      <c r="C77" s="16">
        <v>45853</v>
      </c>
      <c r="D77">
        <v>9861</v>
      </c>
      <c r="F77" t="s">
        <v>1</v>
      </c>
      <c r="G77" s="16">
        <v>45883</v>
      </c>
      <c r="H77" s="17">
        <f t="shared" ca="1" si="2"/>
        <v>291</v>
      </c>
      <c r="I77" s="17" t="str">
        <f t="shared" ca="1" si="3"/>
        <v>90+ Days</v>
      </c>
    </row>
    <row r="78" spans="1:9">
      <c r="A78">
        <v>436</v>
      </c>
      <c r="B78" t="s">
        <v>71</v>
      </c>
      <c r="C78" s="16">
        <v>45853</v>
      </c>
      <c r="D78">
        <v>10752</v>
      </c>
      <c r="F78" t="s">
        <v>1</v>
      </c>
      <c r="G78" s="16">
        <v>45883</v>
      </c>
      <c r="H78" s="17">
        <f t="shared" ca="1" si="2"/>
        <v>291</v>
      </c>
      <c r="I78" s="17" t="str">
        <f t="shared" ca="1" si="3"/>
        <v>90+ Days</v>
      </c>
    </row>
    <row r="79" spans="1:9">
      <c r="A79">
        <v>437</v>
      </c>
      <c r="B79" t="s">
        <v>72</v>
      </c>
      <c r="C79" s="16">
        <v>45853</v>
      </c>
      <c r="D79">
        <v>13424</v>
      </c>
      <c r="F79" t="s">
        <v>27</v>
      </c>
      <c r="G79" s="16">
        <v>45883</v>
      </c>
      <c r="H79" s="17">
        <f t="shared" ca="1" si="2"/>
        <v>0</v>
      </c>
      <c r="I79" s="17" t="str">
        <f t="shared" ca="1" si="3"/>
        <v>Not Overdue</v>
      </c>
    </row>
    <row r="80" spans="1:9">
      <c r="A80">
        <v>438</v>
      </c>
      <c r="B80" t="s">
        <v>73</v>
      </c>
      <c r="C80" s="16">
        <v>45853</v>
      </c>
      <c r="D80">
        <v>1098</v>
      </c>
      <c r="F80" t="s">
        <v>1</v>
      </c>
      <c r="G80" s="16">
        <v>45883</v>
      </c>
      <c r="H80" s="17">
        <f t="shared" ca="1" si="2"/>
        <v>291</v>
      </c>
      <c r="I80" s="17" t="str">
        <f t="shared" ca="1" si="3"/>
        <v>90+ Days</v>
      </c>
    </row>
    <row r="81" spans="1:9">
      <c r="A81">
        <v>439</v>
      </c>
      <c r="B81" t="s">
        <v>8</v>
      </c>
      <c r="C81" s="16">
        <v>45853</v>
      </c>
      <c r="D81">
        <v>32482</v>
      </c>
      <c r="F81" t="s">
        <v>1</v>
      </c>
      <c r="G81" s="16">
        <v>45883</v>
      </c>
      <c r="H81" s="17">
        <f t="shared" ca="1" si="2"/>
        <v>291</v>
      </c>
      <c r="I81" s="17" t="str">
        <f t="shared" ca="1" si="3"/>
        <v>90+ Days</v>
      </c>
    </row>
    <row r="82" spans="1:9">
      <c r="A82">
        <v>440</v>
      </c>
      <c r="B82" t="s">
        <v>10</v>
      </c>
      <c r="C82" s="16">
        <v>45855</v>
      </c>
      <c r="D82">
        <v>32344</v>
      </c>
      <c r="F82" t="s">
        <v>1</v>
      </c>
      <c r="G82" s="16">
        <v>45862</v>
      </c>
      <c r="H82" s="17">
        <f t="shared" ca="1" si="2"/>
        <v>312</v>
      </c>
      <c r="I82" s="17" t="str">
        <f t="shared" ca="1" si="3"/>
        <v>90+ Days</v>
      </c>
    </row>
    <row r="83" spans="1:9">
      <c r="A83">
        <v>441</v>
      </c>
      <c r="B83" t="s">
        <v>10</v>
      </c>
      <c r="C83" s="16">
        <v>45855</v>
      </c>
      <c r="D83">
        <v>5320</v>
      </c>
      <c r="F83" t="s">
        <v>1</v>
      </c>
      <c r="G83" s="16">
        <v>45862</v>
      </c>
      <c r="H83" s="17">
        <f t="shared" ca="1" si="2"/>
        <v>312</v>
      </c>
      <c r="I83" s="17" t="str">
        <f t="shared" ca="1" si="3"/>
        <v>90+ Days</v>
      </c>
    </row>
    <row r="84" spans="1:9">
      <c r="A84">
        <v>442</v>
      </c>
      <c r="B84" t="s">
        <v>25</v>
      </c>
      <c r="C84" s="16">
        <v>45855</v>
      </c>
      <c r="D84">
        <v>20608</v>
      </c>
      <c r="F84" t="s">
        <v>1</v>
      </c>
      <c r="G84" s="16">
        <v>45862</v>
      </c>
      <c r="H84" s="17">
        <f t="shared" ca="1" si="2"/>
        <v>312</v>
      </c>
      <c r="I84" s="17" t="str">
        <f t="shared" ca="1" si="3"/>
        <v>90+ Days</v>
      </c>
    </row>
    <row r="85" spans="1:9">
      <c r="A85">
        <v>443</v>
      </c>
      <c r="B85" t="s">
        <v>74</v>
      </c>
      <c r="C85" s="16">
        <v>45855</v>
      </c>
      <c r="D85">
        <v>7670</v>
      </c>
      <c r="F85" t="s">
        <v>27</v>
      </c>
      <c r="G85" s="16">
        <v>45885</v>
      </c>
      <c r="H85" s="17">
        <f t="shared" ca="1" si="2"/>
        <v>0</v>
      </c>
      <c r="I85" s="17" t="str">
        <f t="shared" ca="1" si="3"/>
        <v>Not Overdue</v>
      </c>
    </row>
    <row r="86" spans="1:9">
      <c r="A86">
        <v>444</v>
      </c>
      <c r="B86" t="s">
        <v>7</v>
      </c>
      <c r="C86" s="16">
        <v>45855</v>
      </c>
      <c r="D86">
        <v>19085</v>
      </c>
      <c r="F86" t="s">
        <v>1</v>
      </c>
      <c r="G86" s="16">
        <v>45885</v>
      </c>
      <c r="H86" s="17">
        <f t="shared" ca="1" si="2"/>
        <v>289</v>
      </c>
      <c r="I86" s="17" t="str">
        <f t="shared" ca="1" si="3"/>
        <v>90+ Days</v>
      </c>
    </row>
    <row r="87" spans="1:9">
      <c r="A87">
        <v>445</v>
      </c>
      <c r="B87" t="s">
        <v>14</v>
      </c>
      <c r="C87" s="16">
        <v>45856</v>
      </c>
      <c r="D87">
        <v>8064</v>
      </c>
      <c r="F87" t="s">
        <v>1</v>
      </c>
      <c r="G87" s="16">
        <v>45886</v>
      </c>
      <c r="H87" s="17">
        <f t="shared" ca="1" si="2"/>
        <v>288</v>
      </c>
      <c r="I87" s="17" t="str">
        <f t="shared" ca="1" si="3"/>
        <v>90+ Days</v>
      </c>
    </row>
    <row r="88" spans="1:9">
      <c r="A88">
        <v>446</v>
      </c>
      <c r="B88" t="s">
        <v>14</v>
      </c>
      <c r="C88" s="16">
        <v>45856</v>
      </c>
      <c r="D88">
        <v>12268</v>
      </c>
      <c r="F88" t="s">
        <v>1</v>
      </c>
      <c r="G88" s="16">
        <v>45886</v>
      </c>
      <c r="H88" s="17">
        <f t="shared" ca="1" si="2"/>
        <v>288</v>
      </c>
      <c r="I88" s="17" t="str">
        <f t="shared" ca="1" si="3"/>
        <v>90+ Days</v>
      </c>
    </row>
    <row r="89" spans="1:9">
      <c r="A89">
        <v>447</v>
      </c>
      <c r="B89" t="s">
        <v>75</v>
      </c>
      <c r="C89" s="16">
        <v>45856</v>
      </c>
      <c r="D89">
        <v>10416</v>
      </c>
      <c r="F89" t="s">
        <v>1</v>
      </c>
      <c r="G89" s="16">
        <v>45886</v>
      </c>
      <c r="H89" s="17">
        <f t="shared" ca="1" si="2"/>
        <v>288</v>
      </c>
      <c r="I89" s="17" t="str">
        <f t="shared" ca="1" si="3"/>
        <v>90+ Days</v>
      </c>
    </row>
    <row r="90" spans="1:9">
      <c r="A90">
        <v>448</v>
      </c>
      <c r="B90" t="s">
        <v>14</v>
      </c>
      <c r="C90" s="16">
        <v>45856</v>
      </c>
      <c r="D90">
        <v>1776</v>
      </c>
      <c r="F90" t="s">
        <v>1</v>
      </c>
      <c r="G90" s="16">
        <v>45886</v>
      </c>
      <c r="H90" s="17">
        <f t="shared" ca="1" si="2"/>
        <v>288</v>
      </c>
      <c r="I90" s="17" t="str">
        <f t="shared" ca="1" si="3"/>
        <v>90+ Days</v>
      </c>
    </row>
    <row r="91" spans="1:9">
      <c r="A91">
        <v>449</v>
      </c>
      <c r="B91" t="s">
        <v>31</v>
      </c>
      <c r="C91" s="16">
        <v>45857</v>
      </c>
      <c r="D91">
        <v>9495</v>
      </c>
      <c r="F91" t="s">
        <v>27</v>
      </c>
      <c r="G91" s="16">
        <v>45864</v>
      </c>
      <c r="H91" s="17">
        <f t="shared" ca="1" si="2"/>
        <v>0</v>
      </c>
      <c r="I91" s="17" t="str">
        <f t="shared" ca="1" si="3"/>
        <v>Not Overdue</v>
      </c>
    </row>
    <row r="92" spans="1:9">
      <c r="A92">
        <v>450</v>
      </c>
      <c r="B92" t="s">
        <v>32</v>
      </c>
      <c r="C92" s="16">
        <v>45857</v>
      </c>
      <c r="D92">
        <v>13395</v>
      </c>
      <c r="F92" t="s">
        <v>27</v>
      </c>
      <c r="G92" s="16">
        <v>45864</v>
      </c>
      <c r="H92" s="17">
        <f t="shared" ca="1" si="2"/>
        <v>0</v>
      </c>
      <c r="I92" s="17" t="str">
        <f t="shared" ca="1" si="3"/>
        <v>Not Overdue</v>
      </c>
    </row>
    <row r="93" spans="1:9">
      <c r="A93">
        <v>451</v>
      </c>
      <c r="B93" t="s">
        <v>44</v>
      </c>
      <c r="C93" s="16">
        <v>45857</v>
      </c>
      <c r="D93">
        <v>3621</v>
      </c>
      <c r="F93" t="s">
        <v>1</v>
      </c>
      <c r="G93" s="16">
        <v>45864</v>
      </c>
      <c r="H93" s="17">
        <f t="shared" ca="1" si="2"/>
        <v>310</v>
      </c>
      <c r="I93" s="17" t="str">
        <f t="shared" ca="1" si="3"/>
        <v>90+ Days</v>
      </c>
    </row>
    <row r="94" spans="1:9">
      <c r="A94">
        <v>452</v>
      </c>
      <c r="B94" t="s">
        <v>13</v>
      </c>
      <c r="C94" s="16">
        <v>45857</v>
      </c>
      <c r="D94">
        <v>36215</v>
      </c>
      <c r="F94" t="s">
        <v>1</v>
      </c>
      <c r="G94" s="16">
        <v>45887</v>
      </c>
      <c r="H94" s="17">
        <f t="shared" ca="1" si="2"/>
        <v>287</v>
      </c>
      <c r="I94" s="17" t="str">
        <f t="shared" ca="1" si="3"/>
        <v>90+ Days</v>
      </c>
    </row>
    <row r="95" spans="1:9">
      <c r="A95">
        <v>453</v>
      </c>
      <c r="B95" t="s">
        <v>53</v>
      </c>
      <c r="C95" s="16">
        <v>45857</v>
      </c>
      <c r="D95">
        <v>2604</v>
      </c>
      <c r="F95" t="s">
        <v>1</v>
      </c>
      <c r="G95" s="16">
        <v>45887</v>
      </c>
      <c r="H95" s="17">
        <f t="shared" ca="1" si="2"/>
        <v>287</v>
      </c>
      <c r="I95" s="17" t="str">
        <f t="shared" ca="1" si="3"/>
        <v>90+ Days</v>
      </c>
    </row>
    <row r="96" spans="1:9">
      <c r="A96">
        <v>454</v>
      </c>
      <c r="B96" t="s">
        <v>70</v>
      </c>
      <c r="C96" s="16">
        <v>45859</v>
      </c>
      <c r="D96">
        <v>20347</v>
      </c>
      <c r="F96" t="s">
        <v>27</v>
      </c>
      <c r="G96" s="16">
        <v>45889</v>
      </c>
      <c r="H96" s="17">
        <f t="shared" ca="1" si="2"/>
        <v>0</v>
      </c>
      <c r="I96" s="17" t="str">
        <f t="shared" ca="1" si="3"/>
        <v>Not Overdue</v>
      </c>
    </row>
    <row r="97" spans="1:9">
      <c r="A97">
        <v>455</v>
      </c>
      <c r="B97" t="s">
        <v>76</v>
      </c>
      <c r="C97" s="16">
        <v>45859</v>
      </c>
      <c r="D97">
        <v>10752</v>
      </c>
      <c r="F97" t="s">
        <v>27</v>
      </c>
      <c r="G97" s="16">
        <v>45889</v>
      </c>
      <c r="H97" s="17">
        <f t="shared" ca="1" si="2"/>
        <v>0</v>
      </c>
      <c r="I97" s="17" t="str">
        <f t="shared" ca="1" si="3"/>
        <v>Not Overdue</v>
      </c>
    </row>
    <row r="98" spans="1:9">
      <c r="A98">
        <v>456</v>
      </c>
      <c r="B98" t="s">
        <v>75</v>
      </c>
      <c r="C98" s="16">
        <v>45859</v>
      </c>
      <c r="D98">
        <v>20832</v>
      </c>
      <c r="F98" t="s">
        <v>1</v>
      </c>
      <c r="G98" s="16">
        <v>45889</v>
      </c>
      <c r="H98" s="17">
        <f t="shared" ca="1" si="2"/>
        <v>285</v>
      </c>
      <c r="I98" s="17" t="str">
        <f t="shared" ca="1" si="3"/>
        <v>90+ Days</v>
      </c>
    </row>
    <row r="99" spans="1:9">
      <c r="A99">
        <v>457</v>
      </c>
      <c r="B99" t="s">
        <v>16</v>
      </c>
      <c r="C99" s="16">
        <v>45859</v>
      </c>
      <c r="D99">
        <v>5074</v>
      </c>
      <c r="F99" t="s">
        <v>1</v>
      </c>
      <c r="G99" s="16">
        <v>45866</v>
      </c>
      <c r="H99" s="17">
        <f t="shared" ca="1" si="2"/>
        <v>308</v>
      </c>
      <c r="I99" s="17" t="str">
        <f t="shared" ca="1" si="3"/>
        <v>90+ Days</v>
      </c>
    </row>
    <row r="100" spans="1:9">
      <c r="A100">
        <v>458</v>
      </c>
      <c r="B100" t="s">
        <v>15</v>
      </c>
      <c r="C100" s="16">
        <v>45860</v>
      </c>
      <c r="D100">
        <v>4673</v>
      </c>
      <c r="F100" t="s">
        <v>1</v>
      </c>
      <c r="G100" s="16">
        <v>45890</v>
      </c>
      <c r="H100" s="17">
        <f t="shared" ca="1" si="2"/>
        <v>284</v>
      </c>
      <c r="I100" s="17" t="str">
        <f t="shared" ca="1" si="3"/>
        <v>90+ Days</v>
      </c>
    </row>
    <row r="101" spans="1:9">
      <c r="A101">
        <v>459</v>
      </c>
      <c r="B101" t="s">
        <v>15</v>
      </c>
      <c r="C101" s="16">
        <v>45860</v>
      </c>
      <c r="D101">
        <v>2266</v>
      </c>
      <c r="F101" t="s">
        <v>1</v>
      </c>
      <c r="G101" s="16">
        <v>45890</v>
      </c>
      <c r="H101" s="17">
        <f t="shared" ca="1" si="2"/>
        <v>284</v>
      </c>
      <c r="I101" s="17" t="str">
        <f t="shared" ca="1" si="3"/>
        <v>90+ Days</v>
      </c>
    </row>
    <row r="102" spans="1:9">
      <c r="A102">
        <v>460</v>
      </c>
      <c r="B102" t="s">
        <v>15</v>
      </c>
      <c r="C102" s="16">
        <v>45860</v>
      </c>
      <c r="D102">
        <v>16491</v>
      </c>
      <c r="F102" t="s">
        <v>1</v>
      </c>
      <c r="G102" s="16">
        <v>45890</v>
      </c>
      <c r="H102" s="17">
        <f t="shared" ca="1" si="2"/>
        <v>284</v>
      </c>
      <c r="I102" s="17" t="str">
        <f t="shared" ca="1" si="3"/>
        <v>90+ Days</v>
      </c>
    </row>
    <row r="103" spans="1:9">
      <c r="A103">
        <v>461</v>
      </c>
      <c r="B103" t="s">
        <v>15</v>
      </c>
      <c r="C103" s="16">
        <v>45860</v>
      </c>
      <c r="D103">
        <v>10752</v>
      </c>
      <c r="F103" t="s">
        <v>1</v>
      </c>
      <c r="G103" s="16">
        <v>45890</v>
      </c>
      <c r="H103" s="17">
        <f t="shared" ca="1" si="2"/>
        <v>284</v>
      </c>
      <c r="I103" s="17" t="str">
        <f t="shared" ca="1" si="3"/>
        <v>90+ Days</v>
      </c>
    </row>
    <row r="104" spans="1:9">
      <c r="A104">
        <v>462</v>
      </c>
      <c r="B104" t="s">
        <v>77</v>
      </c>
      <c r="C104" s="16">
        <v>45861</v>
      </c>
      <c r="D104">
        <v>21728</v>
      </c>
      <c r="F104" t="s">
        <v>27</v>
      </c>
      <c r="G104" s="16">
        <v>45891</v>
      </c>
      <c r="H104" s="17">
        <f t="shared" ca="1" si="2"/>
        <v>0</v>
      </c>
      <c r="I104" s="17" t="str">
        <f t="shared" ca="1" si="3"/>
        <v>Not Overdue</v>
      </c>
    </row>
    <row r="105" spans="1:9">
      <c r="A105">
        <v>463</v>
      </c>
      <c r="B105" t="s">
        <v>78</v>
      </c>
      <c r="C105" s="16">
        <v>45861</v>
      </c>
      <c r="D105">
        <v>25443</v>
      </c>
      <c r="F105" t="s">
        <v>1</v>
      </c>
      <c r="G105" s="16">
        <v>45891</v>
      </c>
      <c r="H105" s="17">
        <f t="shared" ca="1" si="2"/>
        <v>283</v>
      </c>
      <c r="I105" s="17" t="str">
        <f t="shared" ca="1" si="3"/>
        <v>90+ Days</v>
      </c>
    </row>
    <row r="106" spans="1:9">
      <c r="A106">
        <v>464</v>
      </c>
      <c r="B106" t="s">
        <v>40</v>
      </c>
      <c r="C106" s="16">
        <v>45862</v>
      </c>
      <c r="D106">
        <v>7001</v>
      </c>
      <c r="F106" t="s">
        <v>1</v>
      </c>
      <c r="G106" s="16">
        <v>45892</v>
      </c>
      <c r="H106" s="17">
        <f t="shared" ca="1" si="2"/>
        <v>282</v>
      </c>
      <c r="I106" s="17" t="str">
        <f t="shared" ca="1" si="3"/>
        <v>90+ Days</v>
      </c>
    </row>
    <row r="107" spans="1:9">
      <c r="A107">
        <v>465</v>
      </c>
      <c r="B107" t="s">
        <v>43</v>
      </c>
      <c r="C107" s="16">
        <v>45862</v>
      </c>
      <c r="D107">
        <v>10594</v>
      </c>
      <c r="F107" t="s">
        <v>1</v>
      </c>
      <c r="G107" s="16">
        <v>45892</v>
      </c>
      <c r="H107" s="17">
        <f t="shared" ca="1" si="2"/>
        <v>282</v>
      </c>
      <c r="I107" s="17" t="str">
        <f t="shared" ca="1" si="3"/>
        <v>90+ Days</v>
      </c>
    </row>
    <row r="108" spans="1:9">
      <c r="A108">
        <v>466</v>
      </c>
      <c r="B108" t="s">
        <v>43</v>
      </c>
      <c r="C108" s="16">
        <v>45862</v>
      </c>
      <c r="D108">
        <v>3523</v>
      </c>
      <c r="F108" t="s">
        <v>1</v>
      </c>
      <c r="G108" s="16">
        <v>45892</v>
      </c>
      <c r="H108" s="17">
        <f t="shared" ca="1" si="2"/>
        <v>282</v>
      </c>
      <c r="I108" s="17" t="str">
        <f t="shared" ca="1" si="3"/>
        <v>90+ Days</v>
      </c>
    </row>
    <row r="109" spans="1:9">
      <c r="A109">
        <v>467</v>
      </c>
      <c r="B109" t="s">
        <v>79</v>
      </c>
      <c r="C109" s="16">
        <v>45862</v>
      </c>
      <c r="D109">
        <v>22455</v>
      </c>
      <c r="F109" t="s">
        <v>27</v>
      </c>
      <c r="G109" s="16">
        <v>45892</v>
      </c>
      <c r="H109" s="17">
        <f t="shared" ca="1" si="2"/>
        <v>0</v>
      </c>
      <c r="I109" s="17" t="str">
        <f t="shared" ca="1" si="3"/>
        <v>Not Overdue</v>
      </c>
    </row>
    <row r="110" spans="1:9">
      <c r="A110">
        <v>468</v>
      </c>
      <c r="B110" t="s">
        <v>80</v>
      </c>
      <c r="C110" s="16">
        <v>45862</v>
      </c>
      <c r="D110">
        <v>6317</v>
      </c>
      <c r="F110" t="s">
        <v>27</v>
      </c>
      <c r="G110" s="16">
        <v>45892</v>
      </c>
      <c r="H110" s="17">
        <f t="shared" ca="1" si="2"/>
        <v>0</v>
      </c>
      <c r="I110" s="17" t="str">
        <f t="shared" ca="1" si="3"/>
        <v>Not Overdue</v>
      </c>
    </row>
    <row r="111" spans="1:9">
      <c r="A111">
        <v>469</v>
      </c>
      <c r="B111" t="s">
        <v>47</v>
      </c>
      <c r="C111" s="16">
        <v>45862</v>
      </c>
      <c r="D111">
        <v>5376</v>
      </c>
      <c r="F111" t="s">
        <v>1</v>
      </c>
      <c r="G111" s="16">
        <v>45892</v>
      </c>
      <c r="H111" s="17">
        <f t="shared" ca="1" si="2"/>
        <v>282</v>
      </c>
      <c r="I111" s="17" t="str">
        <f t="shared" ca="1" si="3"/>
        <v>90+ Days</v>
      </c>
    </row>
    <row r="112" spans="1:9">
      <c r="A112">
        <v>470</v>
      </c>
      <c r="B112" t="s">
        <v>66</v>
      </c>
      <c r="C112" s="16">
        <v>45863</v>
      </c>
      <c r="D112">
        <v>4915</v>
      </c>
      <c r="F112" t="s">
        <v>1</v>
      </c>
      <c r="G112" s="16">
        <v>45893</v>
      </c>
      <c r="H112" s="17">
        <f t="shared" ca="1" si="2"/>
        <v>281</v>
      </c>
      <c r="I112" s="17" t="str">
        <f t="shared" ca="1" si="3"/>
        <v>90+ Days</v>
      </c>
    </row>
    <row r="113" spans="1:9">
      <c r="A113">
        <v>471</v>
      </c>
      <c r="B113" t="s">
        <v>28</v>
      </c>
      <c r="C113" s="16">
        <v>45863</v>
      </c>
      <c r="D113">
        <v>4750</v>
      </c>
      <c r="F113" t="s">
        <v>1</v>
      </c>
      <c r="G113" s="16">
        <v>45870</v>
      </c>
      <c r="H113" s="17">
        <f t="shared" ca="1" si="2"/>
        <v>304</v>
      </c>
      <c r="I113" s="17" t="str">
        <f t="shared" ca="1" si="3"/>
        <v>90+ Days</v>
      </c>
    </row>
    <row r="114" spans="1:9">
      <c r="A114">
        <v>472</v>
      </c>
      <c r="B114" t="s">
        <v>11</v>
      </c>
      <c r="C114" s="16">
        <v>45863</v>
      </c>
      <c r="D114">
        <v>14372</v>
      </c>
      <c r="F114" t="s">
        <v>1</v>
      </c>
      <c r="G114" s="16">
        <v>45893</v>
      </c>
      <c r="H114" s="17">
        <f t="shared" ca="1" si="2"/>
        <v>281</v>
      </c>
      <c r="I114" s="17" t="str">
        <f t="shared" ca="1" si="3"/>
        <v>90+ Days</v>
      </c>
    </row>
    <row r="115" spans="1:9">
      <c r="A115">
        <v>473</v>
      </c>
      <c r="B115" t="s">
        <v>75</v>
      </c>
      <c r="C115" s="16">
        <v>45863</v>
      </c>
      <c r="D115">
        <v>20832</v>
      </c>
      <c r="F115" t="s">
        <v>1</v>
      </c>
      <c r="G115" s="16">
        <v>45893</v>
      </c>
      <c r="H115" s="17">
        <f t="shared" ca="1" si="2"/>
        <v>281</v>
      </c>
      <c r="I115" s="17" t="str">
        <f t="shared" ca="1" si="3"/>
        <v>90+ Days</v>
      </c>
    </row>
    <row r="116" spans="1:9">
      <c r="A116">
        <v>474</v>
      </c>
      <c r="B116" t="s">
        <v>81</v>
      </c>
      <c r="C116" s="16">
        <v>45863</v>
      </c>
      <c r="D116">
        <v>10752</v>
      </c>
      <c r="F116" t="s">
        <v>27</v>
      </c>
      <c r="G116" s="16">
        <v>45893</v>
      </c>
      <c r="H116" s="17">
        <f t="shared" ca="1" si="2"/>
        <v>0</v>
      </c>
      <c r="I116" s="17" t="str">
        <f t="shared" ca="1" si="3"/>
        <v>Not Overdue</v>
      </c>
    </row>
    <row r="117" spans="1:9">
      <c r="A117">
        <v>475</v>
      </c>
      <c r="B117" t="s">
        <v>74</v>
      </c>
      <c r="C117" s="16">
        <v>45863</v>
      </c>
      <c r="D117">
        <v>5292</v>
      </c>
      <c r="F117" t="s">
        <v>27</v>
      </c>
      <c r="G117" s="16">
        <v>45893</v>
      </c>
      <c r="H117" s="17">
        <f t="shared" ca="1" si="2"/>
        <v>0</v>
      </c>
      <c r="I117" s="17" t="str">
        <f t="shared" ca="1" si="3"/>
        <v>Not Overdue</v>
      </c>
    </row>
    <row r="118" spans="1:9">
      <c r="A118">
        <v>476</v>
      </c>
      <c r="B118" t="s">
        <v>82</v>
      </c>
      <c r="C118" s="16">
        <v>45864</v>
      </c>
      <c r="D118">
        <v>3561</v>
      </c>
      <c r="F118" t="s">
        <v>1</v>
      </c>
      <c r="G118" s="16">
        <v>45894</v>
      </c>
      <c r="H118" s="17">
        <f t="shared" ca="1" si="2"/>
        <v>280</v>
      </c>
      <c r="I118" s="17" t="str">
        <f t="shared" ca="1" si="3"/>
        <v>90+ Days</v>
      </c>
    </row>
    <row r="119" spans="1:9">
      <c r="A119">
        <v>477</v>
      </c>
      <c r="B119" t="s">
        <v>46</v>
      </c>
      <c r="C119" s="16">
        <v>45866</v>
      </c>
      <c r="D119">
        <v>4040</v>
      </c>
      <c r="F119" t="s">
        <v>1</v>
      </c>
      <c r="G119" s="16">
        <v>45896</v>
      </c>
      <c r="H119" s="17">
        <f t="shared" ca="1" si="2"/>
        <v>278</v>
      </c>
      <c r="I119" s="17" t="str">
        <f t="shared" ca="1" si="3"/>
        <v>90+ Days</v>
      </c>
    </row>
    <row r="120" spans="1:9">
      <c r="A120">
        <v>478</v>
      </c>
      <c r="B120" t="s">
        <v>42</v>
      </c>
      <c r="C120" s="16">
        <v>45867</v>
      </c>
      <c r="D120">
        <v>24780</v>
      </c>
      <c r="F120" t="s">
        <v>1</v>
      </c>
      <c r="G120" s="16">
        <v>45874</v>
      </c>
      <c r="H120" s="17">
        <f t="shared" ca="1" si="2"/>
        <v>300</v>
      </c>
      <c r="I120" s="17" t="str">
        <f t="shared" ca="1" si="3"/>
        <v>90+ Days</v>
      </c>
    </row>
    <row r="121" spans="1:9">
      <c r="A121">
        <v>479</v>
      </c>
      <c r="B121" t="s">
        <v>42</v>
      </c>
      <c r="C121" s="16">
        <v>45867</v>
      </c>
      <c r="D121">
        <v>10640</v>
      </c>
      <c r="F121" t="s">
        <v>1</v>
      </c>
      <c r="G121" s="16">
        <v>45874</v>
      </c>
      <c r="H121" s="17">
        <f t="shared" ca="1" si="2"/>
        <v>300</v>
      </c>
      <c r="I121" s="17" t="str">
        <f t="shared" ca="1" si="3"/>
        <v>90+ Days</v>
      </c>
    </row>
    <row r="122" spans="1:9">
      <c r="A122">
        <v>480</v>
      </c>
      <c r="B122" t="s">
        <v>42</v>
      </c>
      <c r="C122" s="16">
        <v>45867</v>
      </c>
      <c r="D122">
        <v>3651</v>
      </c>
      <c r="F122" t="s">
        <v>1</v>
      </c>
      <c r="G122" s="16">
        <v>45874</v>
      </c>
      <c r="H122" s="17">
        <f t="shared" ca="1" si="2"/>
        <v>300</v>
      </c>
      <c r="I122" s="17" t="str">
        <f t="shared" ca="1" si="3"/>
        <v>90+ Days</v>
      </c>
    </row>
    <row r="123" spans="1:9">
      <c r="A123">
        <v>481</v>
      </c>
      <c r="B123" t="s">
        <v>83</v>
      </c>
      <c r="C123" s="16">
        <v>45868</v>
      </c>
      <c r="D123">
        <v>2744</v>
      </c>
      <c r="F123" t="s">
        <v>27</v>
      </c>
      <c r="G123" s="16">
        <v>45898</v>
      </c>
      <c r="H123" s="17">
        <f t="shared" ca="1" si="2"/>
        <v>0</v>
      </c>
      <c r="I123" s="17" t="str">
        <f t="shared" ca="1" si="3"/>
        <v>Not Overdue</v>
      </c>
    </row>
    <row r="124" spans="1:9">
      <c r="A124">
        <v>482</v>
      </c>
      <c r="B124" t="s">
        <v>33</v>
      </c>
      <c r="C124" s="16">
        <v>45868</v>
      </c>
      <c r="D124">
        <v>2688</v>
      </c>
      <c r="F124" t="s">
        <v>27</v>
      </c>
      <c r="G124" s="16">
        <v>45875</v>
      </c>
      <c r="H124" s="17">
        <f t="shared" ca="1" si="2"/>
        <v>0</v>
      </c>
      <c r="I124" s="17" t="str">
        <f t="shared" ca="1" si="3"/>
        <v>Not Overdue</v>
      </c>
    </row>
    <row r="125" spans="1:9">
      <c r="A125">
        <v>483</v>
      </c>
      <c r="B125" t="s">
        <v>36</v>
      </c>
      <c r="C125" s="16">
        <v>45868</v>
      </c>
      <c r="D125">
        <v>12786</v>
      </c>
      <c r="F125" t="s">
        <v>1</v>
      </c>
      <c r="G125" s="16">
        <v>45875</v>
      </c>
      <c r="H125" s="17">
        <f t="shared" ca="1" si="2"/>
        <v>299</v>
      </c>
      <c r="I125" s="17" t="str">
        <f t="shared" ca="1" si="3"/>
        <v>90+ Days</v>
      </c>
    </row>
    <row r="126" spans="1:9">
      <c r="A126">
        <v>484</v>
      </c>
      <c r="B126" t="s">
        <v>84</v>
      </c>
      <c r="C126" s="16">
        <v>45869</v>
      </c>
      <c r="D126">
        <v>16116</v>
      </c>
      <c r="F126" t="s">
        <v>27</v>
      </c>
      <c r="G126" s="16">
        <v>45899</v>
      </c>
      <c r="H126" s="17">
        <f t="shared" ca="1" si="2"/>
        <v>0</v>
      </c>
      <c r="I126" s="17" t="str">
        <f t="shared" ca="1" si="3"/>
        <v>Not Overdue</v>
      </c>
    </row>
    <row r="127" spans="1:9">
      <c r="A127">
        <v>485</v>
      </c>
      <c r="B127" t="s">
        <v>7</v>
      </c>
      <c r="C127" s="16">
        <v>45869</v>
      </c>
      <c r="D127">
        <v>6075</v>
      </c>
      <c r="F127" t="s">
        <v>1</v>
      </c>
      <c r="G127" s="16">
        <v>45899</v>
      </c>
      <c r="H127" s="17">
        <f t="shared" ca="1" si="2"/>
        <v>275</v>
      </c>
      <c r="I127" s="17" t="str">
        <f t="shared" ca="1" si="3"/>
        <v>90+ Days</v>
      </c>
    </row>
    <row r="128" spans="1:9">
      <c r="A128">
        <v>486</v>
      </c>
      <c r="B128" t="s">
        <v>75</v>
      </c>
      <c r="C128" s="16">
        <v>45871</v>
      </c>
      <c r="D128">
        <v>20832</v>
      </c>
      <c r="F128" t="s">
        <v>1</v>
      </c>
      <c r="G128" s="16">
        <v>45901</v>
      </c>
      <c r="H128" s="17">
        <f t="shared" ca="1" si="2"/>
        <v>273</v>
      </c>
      <c r="I128" s="17" t="str">
        <f t="shared" ca="1" si="3"/>
        <v>90+ Days</v>
      </c>
    </row>
    <row r="129" spans="1:9">
      <c r="A129">
        <v>487</v>
      </c>
      <c r="B129" t="s">
        <v>65</v>
      </c>
      <c r="C129" s="16">
        <v>45871</v>
      </c>
      <c r="D129">
        <v>10752</v>
      </c>
      <c r="F129" t="s">
        <v>27</v>
      </c>
      <c r="G129" s="16">
        <v>45901</v>
      </c>
      <c r="H129" s="17">
        <f t="shared" ca="1" si="2"/>
        <v>0</v>
      </c>
      <c r="I129" s="17" t="str">
        <f t="shared" ca="1" si="3"/>
        <v>Not Overdue</v>
      </c>
    </row>
    <row r="130" spans="1:9">
      <c r="A130">
        <v>488</v>
      </c>
      <c r="B130" t="s">
        <v>85</v>
      </c>
      <c r="C130" s="16">
        <v>45871</v>
      </c>
      <c r="D130">
        <v>10416</v>
      </c>
      <c r="F130" t="s">
        <v>27</v>
      </c>
      <c r="G130" s="16">
        <v>45901</v>
      </c>
      <c r="H130" s="17">
        <f t="shared" ref="H130:H193" ca="1" si="4">IF(F130="Closed", 0, IF(TODAY()&gt;G130, TODAY()-G130, 0))</f>
        <v>0</v>
      </c>
      <c r="I130" s="17" t="str">
        <f t="shared" ref="I130:I193" ca="1" si="5">IF(H130=0, "Not Overdue", IF(H130&lt;=30, "1-30 Days", IF(H130&lt;=60, "31-60 Days", IF(H130&lt;=90, "61-90 Days", "90+ Days"))))</f>
        <v>Not Overdue</v>
      </c>
    </row>
    <row r="131" spans="1:9">
      <c r="A131">
        <v>489</v>
      </c>
      <c r="B131" t="s">
        <v>85</v>
      </c>
      <c r="C131" s="16">
        <v>45871</v>
      </c>
      <c r="D131">
        <v>3600</v>
      </c>
      <c r="F131" t="s">
        <v>1</v>
      </c>
      <c r="G131" s="16">
        <v>45901</v>
      </c>
      <c r="H131" s="17">
        <f t="shared" ca="1" si="4"/>
        <v>273</v>
      </c>
      <c r="I131" s="17" t="str">
        <f t="shared" ca="1" si="5"/>
        <v>90+ Days</v>
      </c>
    </row>
    <row r="132" spans="1:9">
      <c r="A132">
        <v>490</v>
      </c>
      <c r="B132" t="s">
        <v>40</v>
      </c>
      <c r="C132" s="16">
        <v>45871</v>
      </c>
      <c r="D132">
        <v>3449</v>
      </c>
      <c r="F132" t="s">
        <v>1</v>
      </c>
      <c r="G132" s="16">
        <v>45901</v>
      </c>
      <c r="H132" s="17">
        <f t="shared" ca="1" si="4"/>
        <v>273</v>
      </c>
      <c r="I132" s="17" t="str">
        <f t="shared" ca="1" si="5"/>
        <v>90+ Days</v>
      </c>
    </row>
    <row r="133" spans="1:9">
      <c r="A133">
        <v>491</v>
      </c>
      <c r="B133" t="s">
        <v>7</v>
      </c>
      <c r="C133" s="16">
        <v>45871</v>
      </c>
      <c r="D133">
        <v>18442</v>
      </c>
      <c r="F133" t="s">
        <v>1</v>
      </c>
      <c r="G133" s="16">
        <v>45901</v>
      </c>
      <c r="H133" s="17">
        <f t="shared" ca="1" si="4"/>
        <v>273</v>
      </c>
      <c r="I133" s="17" t="str">
        <f t="shared" ca="1" si="5"/>
        <v>90+ Days</v>
      </c>
    </row>
    <row r="134" spans="1:9">
      <c r="A134">
        <v>492</v>
      </c>
      <c r="B134" t="s">
        <v>86</v>
      </c>
      <c r="C134" s="16">
        <v>45874</v>
      </c>
      <c r="D134">
        <v>10535</v>
      </c>
      <c r="F134" t="s">
        <v>27</v>
      </c>
      <c r="G134" s="16">
        <v>45904</v>
      </c>
      <c r="H134" s="17">
        <f t="shared" ca="1" si="4"/>
        <v>0</v>
      </c>
      <c r="I134" s="17" t="str">
        <f t="shared" ca="1" si="5"/>
        <v>Not Overdue</v>
      </c>
    </row>
    <row r="135" spans="1:9">
      <c r="A135">
        <v>493</v>
      </c>
      <c r="B135" t="s">
        <v>87</v>
      </c>
      <c r="C135" s="16">
        <v>45874</v>
      </c>
      <c r="D135">
        <v>10677</v>
      </c>
      <c r="F135" t="s">
        <v>1</v>
      </c>
      <c r="G135" s="16">
        <v>45904</v>
      </c>
      <c r="H135" s="17">
        <f t="shared" ca="1" si="4"/>
        <v>270</v>
      </c>
      <c r="I135" s="17" t="str">
        <f t="shared" ca="1" si="5"/>
        <v>90+ Days</v>
      </c>
    </row>
    <row r="136" spans="1:9">
      <c r="A136">
        <v>494</v>
      </c>
      <c r="B136" t="s">
        <v>29</v>
      </c>
      <c r="C136" s="16">
        <v>45874</v>
      </c>
      <c r="D136">
        <v>13115</v>
      </c>
      <c r="F136" t="s">
        <v>1</v>
      </c>
      <c r="G136" s="16">
        <v>45881</v>
      </c>
      <c r="H136" s="17">
        <f t="shared" ca="1" si="4"/>
        <v>293</v>
      </c>
      <c r="I136" s="17" t="str">
        <f t="shared" ca="1" si="5"/>
        <v>90+ Days</v>
      </c>
    </row>
    <row r="137" spans="1:9">
      <c r="A137">
        <v>495</v>
      </c>
      <c r="B137" t="s">
        <v>29</v>
      </c>
      <c r="C137" s="16">
        <v>45874</v>
      </c>
      <c r="D137">
        <v>2688</v>
      </c>
      <c r="F137" t="s">
        <v>1</v>
      </c>
      <c r="G137" s="16">
        <v>45881</v>
      </c>
      <c r="H137" s="17">
        <f t="shared" ca="1" si="4"/>
        <v>293</v>
      </c>
      <c r="I137" s="17" t="str">
        <f t="shared" ca="1" si="5"/>
        <v>90+ Days</v>
      </c>
    </row>
    <row r="138" spans="1:9">
      <c r="A138">
        <v>496</v>
      </c>
      <c r="B138" t="s">
        <v>16</v>
      </c>
      <c r="C138" s="16">
        <v>45874</v>
      </c>
      <c r="D138">
        <v>10976</v>
      </c>
      <c r="F138" t="s">
        <v>1</v>
      </c>
      <c r="G138" s="16">
        <v>45881</v>
      </c>
      <c r="H138" s="17">
        <f t="shared" ca="1" si="4"/>
        <v>293</v>
      </c>
      <c r="I138" s="17" t="str">
        <f t="shared" ca="1" si="5"/>
        <v>90+ Days</v>
      </c>
    </row>
    <row r="139" spans="1:9">
      <c r="A139">
        <v>497</v>
      </c>
      <c r="B139" t="s">
        <v>61</v>
      </c>
      <c r="C139" s="16">
        <v>45874</v>
      </c>
      <c r="D139">
        <v>5712</v>
      </c>
      <c r="F139" t="s">
        <v>1</v>
      </c>
      <c r="G139" s="16">
        <v>45904</v>
      </c>
      <c r="H139" s="17">
        <f t="shared" ca="1" si="4"/>
        <v>270</v>
      </c>
      <c r="I139" s="17" t="str">
        <f t="shared" ca="1" si="5"/>
        <v>90+ Days</v>
      </c>
    </row>
    <row r="140" spans="1:9">
      <c r="A140">
        <v>498</v>
      </c>
      <c r="B140" t="s">
        <v>61</v>
      </c>
      <c r="C140" s="16">
        <v>45874</v>
      </c>
      <c r="D140">
        <v>3593</v>
      </c>
      <c r="F140" t="s">
        <v>1</v>
      </c>
      <c r="G140" s="16">
        <v>45904</v>
      </c>
      <c r="H140" s="17">
        <f t="shared" ca="1" si="4"/>
        <v>270</v>
      </c>
      <c r="I140" s="17" t="str">
        <f t="shared" ca="1" si="5"/>
        <v>90+ Days</v>
      </c>
    </row>
    <row r="141" spans="1:9">
      <c r="A141">
        <v>499</v>
      </c>
      <c r="B141" t="s">
        <v>88</v>
      </c>
      <c r="C141" s="16">
        <v>45874</v>
      </c>
      <c r="D141">
        <v>5308</v>
      </c>
      <c r="F141" t="s">
        <v>1</v>
      </c>
      <c r="G141" s="16">
        <v>45904</v>
      </c>
      <c r="H141" s="17">
        <f t="shared" ca="1" si="4"/>
        <v>270</v>
      </c>
      <c r="I141" s="17" t="str">
        <f t="shared" ca="1" si="5"/>
        <v>90+ Days</v>
      </c>
    </row>
    <row r="142" spans="1:9">
      <c r="A142">
        <v>500</v>
      </c>
      <c r="B142" t="s">
        <v>88</v>
      </c>
      <c r="C142" s="16">
        <v>45874</v>
      </c>
      <c r="D142">
        <v>3192</v>
      </c>
      <c r="F142" t="s">
        <v>1</v>
      </c>
      <c r="G142" s="16">
        <v>45904</v>
      </c>
      <c r="H142" s="17">
        <f t="shared" ca="1" si="4"/>
        <v>270</v>
      </c>
      <c r="I142" s="17" t="str">
        <f t="shared" ca="1" si="5"/>
        <v>90+ Days</v>
      </c>
    </row>
    <row r="143" spans="1:9">
      <c r="A143">
        <v>501</v>
      </c>
      <c r="B143" t="s">
        <v>31</v>
      </c>
      <c r="C143" s="16">
        <v>45874</v>
      </c>
      <c r="D143">
        <v>5125</v>
      </c>
      <c r="F143" t="s">
        <v>1</v>
      </c>
      <c r="G143" s="16">
        <v>45881</v>
      </c>
      <c r="H143" s="17">
        <f t="shared" ca="1" si="4"/>
        <v>293</v>
      </c>
      <c r="I143" s="17" t="str">
        <f t="shared" ca="1" si="5"/>
        <v>90+ Days</v>
      </c>
    </row>
    <row r="144" spans="1:9">
      <c r="A144">
        <v>502</v>
      </c>
      <c r="B144" t="s">
        <v>44</v>
      </c>
      <c r="C144" s="16">
        <v>45874</v>
      </c>
      <c r="D144">
        <v>7177</v>
      </c>
      <c r="F144" t="s">
        <v>1</v>
      </c>
      <c r="G144" s="16">
        <v>45881</v>
      </c>
      <c r="H144" s="17">
        <f t="shared" ca="1" si="4"/>
        <v>293</v>
      </c>
      <c r="I144" s="17" t="str">
        <f t="shared" ca="1" si="5"/>
        <v>90+ Days</v>
      </c>
    </row>
    <row r="145" spans="1:9">
      <c r="A145">
        <v>503</v>
      </c>
      <c r="B145" t="s">
        <v>89</v>
      </c>
      <c r="C145" s="16">
        <v>45874</v>
      </c>
      <c r="D145">
        <v>15635</v>
      </c>
      <c r="F145" t="s">
        <v>1</v>
      </c>
      <c r="G145" s="16">
        <v>45904</v>
      </c>
      <c r="H145" s="17">
        <f t="shared" ca="1" si="4"/>
        <v>270</v>
      </c>
      <c r="I145" s="17" t="str">
        <f t="shared" ca="1" si="5"/>
        <v>90+ Days</v>
      </c>
    </row>
    <row r="146" spans="1:9">
      <c r="A146">
        <v>504</v>
      </c>
      <c r="B146" t="s">
        <v>90</v>
      </c>
      <c r="C146" s="16">
        <v>45874</v>
      </c>
      <c r="D146">
        <v>20270</v>
      </c>
      <c r="F146" t="s">
        <v>1</v>
      </c>
      <c r="G146" s="16">
        <v>45904</v>
      </c>
      <c r="H146" s="17">
        <f t="shared" ca="1" si="4"/>
        <v>270</v>
      </c>
      <c r="I146" s="17" t="str">
        <f t="shared" ca="1" si="5"/>
        <v>90+ Days</v>
      </c>
    </row>
    <row r="147" spans="1:9">
      <c r="A147">
        <v>505</v>
      </c>
      <c r="B147" t="s">
        <v>75</v>
      </c>
      <c r="C147" s="16">
        <v>45875</v>
      </c>
      <c r="D147">
        <v>6916</v>
      </c>
      <c r="F147" t="s">
        <v>1</v>
      </c>
      <c r="G147" s="16">
        <v>45905</v>
      </c>
      <c r="H147" s="17">
        <f t="shared" ca="1" si="4"/>
        <v>269</v>
      </c>
      <c r="I147" s="17" t="str">
        <f t="shared" ca="1" si="5"/>
        <v>90+ Days</v>
      </c>
    </row>
    <row r="148" spans="1:9">
      <c r="A148">
        <v>506</v>
      </c>
      <c r="B148" t="s">
        <v>11</v>
      </c>
      <c r="C148" s="16">
        <v>45875</v>
      </c>
      <c r="D148">
        <v>23680</v>
      </c>
      <c r="F148" t="s">
        <v>1</v>
      </c>
      <c r="H148" s="17">
        <f t="shared" ca="1" si="4"/>
        <v>46174</v>
      </c>
      <c r="I148" s="17" t="str">
        <f t="shared" ca="1" si="5"/>
        <v>90+ Days</v>
      </c>
    </row>
    <row r="149" spans="1:9">
      <c r="A149">
        <v>507</v>
      </c>
      <c r="B149" t="s">
        <v>91</v>
      </c>
      <c r="C149" s="16">
        <v>45875</v>
      </c>
      <c r="D149">
        <v>10528</v>
      </c>
      <c r="F149" t="s">
        <v>27</v>
      </c>
      <c r="G149" s="16">
        <v>45905</v>
      </c>
      <c r="H149" s="17">
        <f t="shared" ca="1" si="4"/>
        <v>0</v>
      </c>
      <c r="I149" s="17" t="str">
        <f t="shared" ca="1" si="5"/>
        <v>Not Overdue</v>
      </c>
    </row>
    <row r="150" spans="1:9">
      <c r="A150">
        <v>508</v>
      </c>
      <c r="B150" t="s">
        <v>28</v>
      </c>
      <c r="C150" s="16">
        <v>45875</v>
      </c>
      <c r="D150">
        <v>9499</v>
      </c>
      <c r="F150" t="s">
        <v>1</v>
      </c>
      <c r="G150" s="16">
        <v>45882</v>
      </c>
      <c r="H150" s="17">
        <f t="shared" ca="1" si="4"/>
        <v>292</v>
      </c>
      <c r="I150" s="17" t="str">
        <f t="shared" ca="1" si="5"/>
        <v>90+ Days</v>
      </c>
    </row>
    <row r="151" spans="1:9">
      <c r="A151">
        <v>509</v>
      </c>
      <c r="B151" t="s">
        <v>14</v>
      </c>
      <c r="C151" s="16">
        <v>45875</v>
      </c>
      <c r="D151">
        <v>10752</v>
      </c>
      <c r="F151" t="s">
        <v>1</v>
      </c>
      <c r="G151" s="16">
        <v>45905</v>
      </c>
      <c r="H151" s="17">
        <f t="shared" ca="1" si="4"/>
        <v>269</v>
      </c>
      <c r="I151" s="17" t="str">
        <f t="shared" ca="1" si="5"/>
        <v>90+ Days</v>
      </c>
    </row>
    <row r="152" spans="1:9">
      <c r="A152">
        <v>510</v>
      </c>
      <c r="B152" t="s">
        <v>62</v>
      </c>
      <c r="C152" s="16">
        <v>45875</v>
      </c>
      <c r="D152">
        <v>3813</v>
      </c>
      <c r="F152" t="s">
        <v>27</v>
      </c>
      <c r="G152" s="16">
        <v>45905</v>
      </c>
      <c r="H152" s="17">
        <f t="shared" ca="1" si="4"/>
        <v>0</v>
      </c>
      <c r="I152" s="17" t="str">
        <f t="shared" ca="1" si="5"/>
        <v>Not Overdue</v>
      </c>
    </row>
    <row r="153" spans="1:9">
      <c r="A153">
        <v>511</v>
      </c>
      <c r="B153" t="s">
        <v>48</v>
      </c>
      <c r="C153" s="16">
        <v>45876</v>
      </c>
      <c r="D153">
        <v>6390</v>
      </c>
      <c r="F153" t="s">
        <v>1</v>
      </c>
      <c r="G153" s="16">
        <v>45906</v>
      </c>
      <c r="H153" s="17">
        <f t="shared" ca="1" si="4"/>
        <v>268</v>
      </c>
      <c r="I153" s="17" t="str">
        <f t="shared" ca="1" si="5"/>
        <v>90+ Days</v>
      </c>
    </row>
    <row r="154" spans="1:9">
      <c r="A154">
        <v>512</v>
      </c>
      <c r="B154" t="s">
        <v>54</v>
      </c>
      <c r="C154" s="16">
        <v>45876</v>
      </c>
      <c r="D154">
        <v>3810</v>
      </c>
      <c r="F154" t="s">
        <v>1</v>
      </c>
      <c r="G154" s="16">
        <v>45906</v>
      </c>
      <c r="H154" s="17">
        <f t="shared" ca="1" si="4"/>
        <v>268</v>
      </c>
      <c r="I154" s="17" t="str">
        <f t="shared" ca="1" si="5"/>
        <v>90+ Days</v>
      </c>
    </row>
    <row r="155" spans="1:9">
      <c r="A155">
        <v>513</v>
      </c>
      <c r="B155" t="s">
        <v>33</v>
      </c>
      <c r="C155" s="16">
        <v>45876</v>
      </c>
      <c r="D155">
        <v>14991</v>
      </c>
      <c r="F155" t="s">
        <v>1</v>
      </c>
      <c r="G155" s="16">
        <v>45883</v>
      </c>
      <c r="H155" s="17">
        <f t="shared" ca="1" si="4"/>
        <v>291</v>
      </c>
      <c r="I155" s="17" t="str">
        <f t="shared" ca="1" si="5"/>
        <v>90+ Days</v>
      </c>
    </row>
    <row r="156" spans="1:9">
      <c r="A156">
        <v>514</v>
      </c>
      <c r="B156" t="s">
        <v>54</v>
      </c>
      <c r="C156" s="16">
        <v>45876</v>
      </c>
      <c r="D156">
        <v>2576</v>
      </c>
      <c r="F156" t="s">
        <v>1</v>
      </c>
      <c r="G156" s="16">
        <v>45906</v>
      </c>
      <c r="H156" s="17">
        <f t="shared" ca="1" si="4"/>
        <v>268</v>
      </c>
      <c r="I156" s="17" t="str">
        <f t="shared" ca="1" si="5"/>
        <v>90+ Days</v>
      </c>
    </row>
    <row r="157" spans="1:9">
      <c r="A157">
        <v>515</v>
      </c>
      <c r="B157" t="s">
        <v>7</v>
      </c>
      <c r="C157" s="16">
        <v>45877</v>
      </c>
      <c r="D157">
        <v>24338</v>
      </c>
      <c r="F157" t="s">
        <v>1</v>
      </c>
      <c r="G157" s="16">
        <v>45907</v>
      </c>
      <c r="H157" s="17">
        <f t="shared" ca="1" si="4"/>
        <v>267</v>
      </c>
      <c r="I157" s="17" t="str">
        <f t="shared" ca="1" si="5"/>
        <v>90+ Days</v>
      </c>
    </row>
    <row r="158" spans="1:9">
      <c r="A158">
        <v>516</v>
      </c>
      <c r="B158" t="s">
        <v>67</v>
      </c>
      <c r="C158" s="16">
        <v>45877</v>
      </c>
      <c r="D158">
        <v>2744</v>
      </c>
      <c r="F158" t="s">
        <v>1</v>
      </c>
      <c r="G158" s="16">
        <v>45907</v>
      </c>
      <c r="H158" s="17">
        <f t="shared" ca="1" si="4"/>
        <v>267</v>
      </c>
      <c r="I158" s="17" t="str">
        <f t="shared" ca="1" si="5"/>
        <v>90+ Days</v>
      </c>
    </row>
    <row r="159" spans="1:9">
      <c r="A159">
        <v>517</v>
      </c>
      <c r="B159" t="s">
        <v>47</v>
      </c>
      <c r="C159" s="16">
        <v>45877</v>
      </c>
      <c r="D159">
        <v>3647</v>
      </c>
      <c r="F159" t="s">
        <v>1</v>
      </c>
      <c r="G159" s="16">
        <v>45907</v>
      </c>
      <c r="H159" s="17">
        <f t="shared" ca="1" si="4"/>
        <v>267</v>
      </c>
      <c r="I159" s="17" t="str">
        <f t="shared" ca="1" si="5"/>
        <v>90+ Days</v>
      </c>
    </row>
    <row r="160" spans="1:9">
      <c r="A160">
        <v>518</v>
      </c>
      <c r="B160" t="s">
        <v>31</v>
      </c>
      <c r="C160" s="16">
        <v>45880</v>
      </c>
      <c r="D160">
        <v>9813</v>
      </c>
      <c r="F160" t="s">
        <v>1</v>
      </c>
      <c r="H160" s="17">
        <f t="shared" ca="1" si="4"/>
        <v>46174</v>
      </c>
      <c r="I160" s="17" t="str">
        <f t="shared" ca="1" si="5"/>
        <v>90+ Days</v>
      </c>
    </row>
    <row r="161" spans="1:9">
      <c r="A161">
        <v>519</v>
      </c>
      <c r="B161" t="s">
        <v>88</v>
      </c>
      <c r="C161" s="16">
        <v>45880</v>
      </c>
      <c r="D161">
        <v>5318</v>
      </c>
      <c r="F161" t="s">
        <v>1</v>
      </c>
      <c r="H161" s="17">
        <f t="shared" ca="1" si="4"/>
        <v>46174</v>
      </c>
      <c r="I161" s="17" t="str">
        <f t="shared" ca="1" si="5"/>
        <v>90+ Days</v>
      </c>
    </row>
    <row r="162" spans="1:9">
      <c r="A162">
        <v>520</v>
      </c>
      <c r="B162" t="s">
        <v>10</v>
      </c>
      <c r="C162" s="16">
        <v>45880</v>
      </c>
      <c r="D162">
        <v>15423</v>
      </c>
      <c r="F162" t="s">
        <v>1</v>
      </c>
      <c r="H162" s="17">
        <f t="shared" ca="1" si="4"/>
        <v>46174</v>
      </c>
      <c r="I162" s="17" t="str">
        <f t="shared" ca="1" si="5"/>
        <v>90+ Days</v>
      </c>
    </row>
    <row r="163" spans="1:9">
      <c r="A163">
        <v>521</v>
      </c>
      <c r="B163" t="s">
        <v>10</v>
      </c>
      <c r="C163" s="16">
        <v>45880</v>
      </c>
      <c r="D163">
        <v>7980</v>
      </c>
      <c r="F163" t="s">
        <v>1</v>
      </c>
      <c r="H163" s="17">
        <f t="shared" ca="1" si="4"/>
        <v>46174</v>
      </c>
      <c r="I163" s="17" t="str">
        <f t="shared" ca="1" si="5"/>
        <v>90+ Days</v>
      </c>
    </row>
    <row r="164" spans="1:9">
      <c r="A164">
        <v>522</v>
      </c>
      <c r="B164" t="s">
        <v>71</v>
      </c>
      <c r="C164" s="16">
        <v>45880</v>
      </c>
      <c r="D164">
        <v>13440</v>
      </c>
      <c r="F164" t="s">
        <v>1</v>
      </c>
      <c r="H164" s="17">
        <f t="shared" ca="1" si="4"/>
        <v>46174</v>
      </c>
      <c r="I164" s="17" t="str">
        <f t="shared" ca="1" si="5"/>
        <v>90+ Days</v>
      </c>
    </row>
    <row r="165" spans="1:9">
      <c r="A165">
        <v>523</v>
      </c>
      <c r="B165" t="s">
        <v>71</v>
      </c>
      <c r="C165" s="16">
        <v>45880</v>
      </c>
      <c r="D165">
        <v>6811</v>
      </c>
      <c r="F165" t="s">
        <v>1</v>
      </c>
      <c r="H165" s="17">
        <f t="shared" ca="1" si="4"/>
        <v>46174</v>
      </c>
      <c r="I165" s="17" t="str">
        <f t="shared" ca="1" si="5"/>
        <v>90+ Days</v>
      </c>
    </row>
    <row r="166" spans="1:9">
      <c r="A166">
        <v>524</v>
      </c>
      <c r="B166" t="s">
        <v>92</v>
      </c>
      <c r="C166" s="16">
        <v>45880</v>
      </c>
      <c r="D166">
        <v>5019</v>
      </c>
      <c r="F166" t="s">
        <v>27</v>
      </c>
      <c r="H166" s="17">
        <f t="shared" ca="1" si="4"/>
        <v>0</v>
      </c>
      <c r="I166" s="17" t="str">
        <f t="shared" ca="1" si="5"/>
        <v>Not Overdue</v>
      </c>
    </row>
    <row r="167" spans="1:9">
      <c r="A167">
        <v>525</v>
      </c>
      <c r="B167" t="s">
        <v>32</v>
      </c>
      <c r="C167" s="16">
        <v>45881</v>
      </c>
      <c r="D167">
        <v>18922</v>
      </c>
      <c r="F167" t="s">
        <v>1</v>
      </c>
      <c r="H167" s="17">
        <f t="shared" ca="1" si="4"/>
        <v>46174</v>
      </c>
      <c r="I167" s="17" t="str">
        <f t="shared" ca="1" si="5"/>
        <v>90+ Days</v>
      </c>
    </row>
    <row r="168" spans="1:9">
      <c r="A168">
        <v>526</v>
      </c>
      <c r="B168" t="s">
        <v>16</v>
      </c>
      <c r="C168" s="16">
        <v>45881</v>
      </c>
      <c r="D168">
        <v>5557</v>
      </c>
      <c r="F168" t="s">
        <v>1</v>
      </c>
      <c r="H168" s="17">
        <f t="shared" ca="1" si="4"/>
        <v>46174</v>
      </c>
      <c r="I168" s="17" t="str">
        <f t="shared" ca="1" si="5"/>
        <v>90+ Days</v>
      </c>
    </row>
    <row r="169" spans="1:9">
      <c r="A169">
        <v>527</v>
      </c>
      <c r="B169" t="s">
        <v>66</v>
      </c>
      <c r="C169" s="16">
        <v>45881</v>
      </c>
      <c r="D169">
        <v>4902</v>
      </c>
      <c r="F169" t="s">
        <v>1</v>
      </c>
      <c r="H169" s="17">
        <f t="shared" ca="1" si="4"/>
        <v>46174</v>
      </c>
      <c r="I169" s="17" t="str">
        <f t="shared" ca="1" si="5"/>
        <v>90+ Days</v>
      </c>
    </row>
    <row r="170" spans="1:9">
      <c r="A170">
        <v>528</v>
      </c>
      <c r="B170" t="s">
        <v>38</v>
      </c>
      <c r="C170" s="16">
        <v>45881</v>
      </c>
      <c r="D170">
        <v>6317</v>
      </c>
      <c r="F170" t="s">
        <v>1</v>
      </c>
      <c r="H170" s="17">
        <f t="shared" ca="1" si="4"/>
        <v>46174</v>
      </c>
      <c r="I170" s="17" t="str">
        <f t="shared" ca="1" si="5"/>
        <v>90+ Days</v>
      </c>
    </row>
    <row r="171" spans="1:9">
      <c r="A171">
        <v>529</v>
      </c>
      <c r="B171" t="s">
        <v>93</v>
      </c>
      <c r="C171" s="16">
        <v>45881</v>
      </c>
      <c r="D171">
        <v>10528</v>
      </c>
      <c r="F171" t="s">
        <v>27</v>
      </c>
      <c r="H171" s="17">
        <f t="shared" ca="1" si="4"/>
        <v>0</v>
      </c>
      <c r="I171" s="17" t="str">
        <f t="shared" ca="1" si="5"/>
        <v>Not Overdue</v>
      </c>
    </row>
    <row r="172" spans="1:9">
      <c r="A172">
        <v>530</v>
      </c>
      <c r="B172" t="s">
        <v>76</v>
      </c>
      <c r="C172" s="16">
        <v>45881</v>
      </c>
      <c r="D172">
        <v>9641</v>
      </c>
      <c r="F172" t="s">
        <v>27</v>
      </c>
      <c r="H172" s="17">
        <f t="shared" ca="1" si="4"/>
        <v>0</v>
      </c>
      <c r="I172" s="17" t="str">
        <f t="shared" ca="1" si="5"/>
        <v>Not Overdue</v>
      </c>
    </row>
    <row r="173" spans="1:9">
      <c r="A173">
        <v>531</v>
      </c>
      <c r="B173" t="s">
        <v>62</v>
      </c>
      <c r="C173" s="16">
        <v>45883</v>
      </c>
      <c r="D173">
        <v>549</v>
      </c>
      <c r="F173" t="s">
        <v>27</v>
      </c>
      <c r="H173" s="17">
        <f t="shared" ca="1" si="4"/>
        <v>0</v>
      </c>
      <c r="I173" s="17" t="str">
        <f t="shared" ca="1" si="5"/>
        <v>Not Overdue</v>
      </c>
    </row>
    <row r="174" spans="1:9">
      <c r="A174">
        <v>532</v>
      </c>
      <c r="B174" t="s">
        <v>55</v>
      </c>
      <c r="C174" s="16">
        <v>45883</v>
      </c>
      <c r="D174">
        <v>10976</v>
      </c>
      <c r="F174" t="s">
        <v>1</v>
      </c>
      <c r="H174" s="17">
        <f t="shared" ca="1" si="4"/>
        <v>46174</v>
      </c>
      <c r="I174" s="17" t="str">
        <f t="shared" ca="1" si="5"/>
        <v>90+ Days</v>
      </c>
    </row>
    <row r="175" spans="1:9">
      <c r="A175">
        <v>533</v>
      </c>
      <c r="B175" t="s">
        <v>53</v>
      </c>
      <c r="C175" s="16">
        <v>45883</v>
      </c>
      <c r="D175">
        <v>4366</v>
      </c>
      <c r="F175" t="s">
        <v>1</v>
      </c>
      <c r="H175" s="17">
        <f t="shared" ca="1" si="4"/>
        <v>46174</v>
      </c>
      <c r="I175" s="17" t="str">
        <f t="shared" ca="1" si="5"/>
        <v>90+ Days</v>
      </c>
    </row>
    <row r="176" spans="1:9">
      <c r="A176">
        <v>534</v>
      </c>
      <c r="B176" t="s">
        <v>94</v>
      </c>
      <c r="C176" s="16">
        <v>45883</v>
      </c>
      <c r="D176">
        <v>5494</v>
      </c>
      <c r="F176" t="s">
        <v>27</v>
      </c>
      <c r="H176" s="17">
        <f t="shared" ca="1" si="4"/>
        <v>0</v>
      </c>
      <c r="I176" s="17" t="str">
        <f t="shared" ca="1" si="5"/>
        <v>Not Overdue</v>
      </c>
    </row>
    <row r="177" spans="1:9">
      <c r="A177">
        <v>535</v>
      </c>
      <c r="B177" t="s">
        <v>67</v>
      </c>
      <c r="C177" s="16">
        <v>45883</v>
      </c>
      <c r="D177">
        <v>2744</v>
      </c>
      <c r="F177" t="s">
        <v>1</v>
      </c>
      <c r="G177" s="16">
        <v>45890</v>
      </c>
      <c r="H177" s="17">
        <f t="shared" ca="1" si="4"/>
        <v>284</v>
      </c>
      <c r="I177" s="17" t="str">
        <f t="shared" ca="1" si="5"/>
        <v>90+ Days</v>
      </c>
    </row>
    <row r="178" spans="1:9">
      <c r="A178">
        <v>536</v>
      </c>
      <c r="B178" t="s">
        <v>40</v>
      </c>
      <c r="C178" s="16">
        <v>45887</v>
      </c>
      <c r="D178">
        <v>6940</v>
      </c>
      <c r="F178" t="s">
        <v>1</v>
      </c>
      <c r="H178" s="17">
        <f t="shared" ca="1" si="4"/>
        <v>46174</v>
      </c>
      <c r="I178" s="17" t="str">
        <f t="shared" ca="1" si="5"/>
        <v>90+ Days</v>
      </c>
    </row>
    <row r="179" spans="1:9">
      <c r="A179">
        <v>537</v>
      </c>
      <c r="B179" t="s">
        <v>14</v>
      </c>
      <c r="C179" s="16">
        <v>45887</v>
      </c>
      <c r="D179">
        <v>6839</v>
      </c>
      <c r="F179" t="s">
        <v>1</v>
      </c>
      <c r="H179" s="17">
        <f t="shared" ca="1" si="4"/>
        <v>46174</v>
      </c>
      <c r="I179" s="17" t="str">
        <f t="shared" ca="1" si="5"/>
        <v>90+ Days</v>
      </c>
    </row>
    <row r="180" spans="1:9">
      <c r="A180">
        <v>538</v>
      </c>
      <c r="B180" t="s">
        <v>95</v>
      </c>
      <c r="C180" s="16">
        <v>45888</v>
      </c>
      <c r="D180">
        <v>45529</v>
      </c>
      <c r="F180" t="s">
        <v>27</v>
      </c>
      <c r="H180" s="17">
        <f t="shared" ca="1" si="4"/>
        <v>0</v>
      </c>
      <c r="I180" s="17" t="str">
        <f t="shared" ca="1" si="5"/>
        <v>Not Overdue</v>
      </c>
    </row>
    <row r="181" spans="1:9">
      <c r="A181">
        <v>539</v>
      </c>
      <c r="B181" t="s">
        <v>96</v>
      </c>
      <c r="C181" s="16">
        <v>45888</v>
      </c>
      <c r="D181">
        <v>10752</v>
      </c>
      <c r="F181" t="s">
        <v>1</v>
      </c>
      <c r="H181" s="17">
        <f t="shared" ca="1" si="4"/>
        <v>46174</v>
      </c>
      <c r="I181" s="17" t="str">
        <f t="shared" ca="1" si="5"/>
        <v>90+ Days</v>
      </c>
    </row>
    <row r="182" spans="1:9">
      <c r="A182">
        <v>540</v>
      </c>
      <c r="B182" t="s">
        <v>82</v>
      </c>
      <c r="C182" s="16">
        <v>45888</v>
      </c>
      <c r="D182">
        <v>3865</v>
      </c>
      <c r="F182" t="s">
        <v>1</v>
      </c>
      <c r="H182" s="17">
        <f t="shared" ca="1" si="4"/>
        <v>46174</v>
      </c>
      <c r="I182" s="17" t="str">
        <f t="shared" ca="1" si="5"/>
        <v>90+ Days</v>
      </c>
    </row>
    <row r="183" spans="1:9">
      <c r="A183">
        <v>541</v>
      </c>
      <c r="B183" t="s">
        <v>74</v>
      </c>
      <c r="C183" s="16">
        <v>45888</v>
      </c>
      <c r="D183">
        <v>7670</v>
      </c>
      <c r="F183" t="s">
        <v>1</v>
      </c>
      <c r="H183" s="17">
        <f t="shared" ca="1" si="4"/>
        <v>46174</v>
      </c>
      <c r="I183" s="17" t="str">
        <f t="shared" ca="1" si="5"/>
        <v>90+ Days</v>
      </c>
    </row>
    <row r="184" spans="1:9">
      <c r="A184">
        <v>542</v>
      </c>
      <c r="B184" t="s">
        <v>43</v>
      </c>
      <c r="C184" s="16">
        <v>45888</v>
      </c>
      <c r="D184">
        <v>17801</v>
      </c>
      <c r="F184" t="s">
        <v>1</v>
      </c>
      <c r="H184" s="17">
        <f t="shared" ca="1" si="4"/>
        <v>46174</v>
      </c>
      <c r="I184" s="17" t="str">
        <f t="shared" ca="1" si="5"/>
        <v>90+ Days</v>
      </c>
    </row>
    <row r="185" spans="1:9">
      <c r="A185">
        <v>543</v>
      </c>
      <c r="B185" t="s">
        <v>13</v>
      </c>
      <c r="C185" s="16">
        <v>45888</v>
      </c>
      <c r="D185">
        <v>17581</v>
      </c>
      <c r="F185" t="s">
        <v>1</v>
      </c>
      <c r="H185" s="17">
        <f t="shared" ca="1" si="4"/>
        <v>46174</v>
      </c>
      <c r="I185" s="17" t="str">
        <f t="shared" ca="1" si="5"/>
        <v>90+ Days</v>
      </c>
    </row>
    <row r="186" spans="1:9">
      <c r="A186">
        <v>544</v>
      </c>
      <c r="B186" t="s">
        <v>15</v>
      </c>
      <c r="C186" s="16">
        <v>45888</v>
      </c>
      <c r="D186">
        <v>17576</v>
      </c>
      <c r="F186" t="s">
        <v>1</v>
      </c>
      <c r="H186" s="17">
        <f t="shared" ca="1" si="4"/>
        <v>46174</v>
      </c>
      <c r="I186" s="17" t="str">
        <f t="shared" ca="1" si="5"/>
        <v>90+ Days</v>
      </c>
    </row>
    <row r="187" spans="1:9">
      <c r="A187">
        <v>545</v>
      </c>
      <c r="B187" t="s">
        <v>15</v>
      </c>
      <c r="C187" s="16">
        <v>45888</v>
      </c>
      <c r="D187">
        <v>10752</v>
      </c>
      <c r="F187" t="s">
        <v>1</v>
      </c>
      <c r="H187" s="17">
        <f t="shared" ca="1" si="4"/>
        <v>46174</v>
      </c>
      <c r="I187" s="17" t="str">
        <f t="shared" ca="1" si="5"/>
        <v>90+ Days</v>
      </c>
    </row>
    <row r="188" spans="1:9">
      <c r="A188">
        <v>546</v>
      </c>
      <c r="B188" t="s">
        <v>69</v>
      </c>
      <c r="C188" s="16">
        <v>45889</v>
      </c>
      <c r="D188">
        <v>7786</v>
      </c>
      <c r="F188" t="s">
        <v>1</v>
      </c>
      <c r="H188" s="17">
        <f t="shared" ca="1" si="4"/>
        <v>46174</v>
      </c>
      <c r="I188" s="17" t="str">
        <f t="shared" ca="1" si="5"/>
        <v>90+ Days</v>
      </c>
    </row>
    <row r="189" spans="1:9">
      <c r="A189">
        <v>547</v>
      </c>
      <c r="B189" t="s">
        <v>85</v>
      </c>
      <c r="C189" s="16">
        <v>45889</v>
      </c>
      <c r="D189">
        <v>25446</v>
      </c>
      <c r="F189" t="s">
        <v>1</v>
      </c>
      <c r="H189" s="17">
        <f t="shared" ca="1" si="4"/>
        <v>46174</v>
      </c>
      <c r="I189" s="17" t="str">
        <f t="shared" ca="1" si="5"/>
        <v>90+ Days</v>
      </c>
    </row>
    <row r="190" spans="1:9">
      <c r="A190">
        <v>548</v>
      </c>
      <c r="B190" t="s">
        <v>85</v>
      </c>
      <c r="C190" s="16">
        <v>45889</v>
      </c>
      <c r="D190">
        <v>20832</v>
      </c>
      <c r="F190" t="s">
        <v>27</v>
      </c>
      <c r="H190" s="17">
        <f t="shared" ca="1" si="4"/>
        <v>0</v>
      </c>
      <c r="I190" s="17" t="str">
        <f t="shared" ca="1" si="5"/>
        <v>Not Overdue</v>
      </c>
    </row>
    <row r="191" spans="1:9">
      <c r="A191">
        <v>549</v>
      </c>
      <c r="B191" t="s">
        <v>97</v>
      </c>
      <c r="C191" s="16">
        <v>45889</v>
      </c>
      <c r="D191">
        <v>10416</v>
      </c>
      <c r="F191" t="s">
        <v>1</v>
      </c>
      <c r="G191" s="16">
        <v>45919</v>
      </c>
      <c r="H191" s="17">
        <f t="shared" ca="1" si="4"/>
        <v>255</v>
      </c>
      <c r="I191" s="17" t="str">
        <f t="shared" ca="1" si="5"/>
        <v>90+ Days</v>
      </c>
    </row>
    <row r="192" spans="1:9">
      <c r="A192">
        <v>550</v>
      </c>
      <c r="B192" t="s">
        <v>9</v>
      </c>
      <c r="C192" s="16">
        <v>45889</v>
      </c>
      <c r="D192">
        <v>15792</v>
      </c>
      <c r="F192" t="s">
        <v>1</v>
      </c>
      <c r="G192" s="16">
        <v>45919</v>
      </c>
      <c r="H192" s="17">
        <f t="shared" ca="1" si="4"/>
        <v>255</v>
      </c>
      <c r="I192" s="17" t="str">
        <f t="shared" ca="1" si="5"/>
        <v>90+ Days</v>
      </c>
    </row>
    <row r="193" spans="1:9">
      <c r="A193">
        <v>551</v>
      </c>
      <c r="B193" t="s">
        <v>9</v>
      </c>
      <c r="C193" s="16">
        <v>45889</v>
      </c>
      <c r="D193">
        <v>21004</v>
      </c>
      <c r="F193" t="s">
        <v>1</v>
      </c>
      <c r="H193" s="17">
        <f t="shared" ca="1" si="4"/>
        <v>46174</v>
      </c>
      <c r="I193" s="17" t="str">
        <f t="shared" ca="1" si="5"/>
        <v>90+ Days</v>
      </c>
    </row>
    <row r="194" spans="1:9">
      <c r="A194">
        <v>552</v>
      </c>
      <c r="B194" t="s">
        <v>13</v>
      </c>
      <c r="C194" s="16">
        <v>45890</v>
      </c>
      <c r="D194">
        <v>42643</v>
      </c>
      <c r="F194" t="s">
        <v>1</v>
      </c>
      <c r="H194" s="17">
        <f t="shared" ref="H194:H257" ca="1" si="6">IF(F194="Closed", 0, IF(TODAY()&gt;G194, TODAY()-G194, 0))</f>
        <v>46174</v>
      </c>
      <c r="I194" s="17" t="str">
        <f t="shared" ref="I194:I257" ca="1" si="7">IF(H194=0, "Not Overdue", IF(H194&lt;=30, "1-30 Days", IF(H194&lt;=60, "31-60 Days", IF(H194&lt;=90, "61-90 Days", "90+ Days"))))</f>
        <v>90+ Days</v>
      </c>
    </row>
    <row r="195" spans="1:9">
      <c r="A195">
        <v>553</v>
      </c>
      <c r="B195" t="s">
        <v>7</v>
      </c>
      <c r="C195" s="16">
        <v>45890</v>
      </c>
      <c r="D195">
        <v>17912</v>
      </c>
      <c r="F195" t="s">
        <v>1</v>
      </c>
      <c r="H195" s="17">
        <f t="shared" ca="1" si="6"/>
        <v>46174</v>
      </c>
      <c r="I195" s="17" t="str">
        <f t="shared" ca="1" si="7"/>
        <v>90+ Days</v>
      </c>
    </row>
    <row r="196" spans="1:9">
      <c r="A196">
        <v>554</v>
      </c>
      <c r="B196" t="s">
        <v>52</v>
      </c>
      <c r="C196" s="16">
        <v>45891</v>
      </c>
      <c r="D196">
        <v>28029</v>
      </c>
      <c r="F196" t="s">
        <v>1</v>
      </c>
      <c r="H196" s="17">
        <f t="shared" ca="1" si="6"/>
        <v>46174</v>
      </c>
      <c r="I196" s="17" t="str">
        <f t="shared" ca="1" si="7"/>
        <v>90+ Days</v>
      </c>
    </row>
    <row r="197" spans="1:9">
      <c r="A197">
        <v>555</v>
      </c>
      <c r="B197" t="s">
        <v>61</v>
      </c>
      <c r="C197" s="16">
        <v>45891</v>
      </c>
      <c r="D197">
        <v>3724</v>
      </c>
      <c r="F197" t="s">
        <v>1</v>
      </c>
      <c r="H197" s="17">
        <f t="shared" ca="1" si="6"/>
        <v>46174</v>
      </c>
      <c r="I197" s="17" t="str">
        <f t="shared" ca="1" si="7"/>
        <v>90+ Days</v>
      </c>
    </row>
    <row r="198" spans="1:9">
      <c r="A198">
        <v>556</v>
      </c>
      <c r="B198" t="s">
        <v>61</v>
      </c>
      <c r="C198" s="16">
        <v>45891</v>
      </c>
      <c r="D198">
        <v>3427</v>
      </c>
      <c r="F198" t="s">
        <v>1</v>
      </c>
      <c r="H198" s="17">
        <f t="shared" ca="1" si="6"/>
        <v>46174</v>
      </c>
      <c r="I198" s="17" t="str">
        <f t="shared" ca="1" si="7"/>
        <v>90+ Days</v>
      </c>
    </row>
    <row r="199" spans="1:9">
      <c r="A199">
        <v>557</v>
      </c>
      <c r="B199" t="s">
        <v>98</v>
      </c>
      <c r="C199" s="16">
        <v>45891</v>
      </c>
      <c r="D199">
        <v>4871</v>
      </c>
      <c r="F199" t="s">
        <v>27</v>
      </c>
      <c r="H199" s="17">
        <f t="shared" ca="1" si="6"/>
        <v>0</v>
      </c>
      <c r="I199" s="17" t="str">
        <f t="shared" ca="1" si="7"/>
        <v>Not Overdue</v>
      </c>
    </row>
    <row r="200" spans="1:9">
      <c r="A200">
        <v>558</v>
      </c>
      <c r="B200" t="s">
        <v>98</v>
      </c>
      <c r="C200" s="16">
        <v>45891</v>
      </c>
      <c r="D200">
        <v>4661</v>
      </c>
      <c r="F200" t="s">
        <v>27</v>
      </c>
      <c r="H200" s="17">
        <f t="shared" ca="1" si="6"/>
        <v>0</v>
      </c>
      <c r="I200" s="17" t="str">
        <f t="shared" ca="1" si="7"/>
        <v>Not Overdue</v>
      </c>
    </row>
    <row r="201" spans="1:9">
      <c r="A201">
        <v>559</v>
      </c>
      <c r="B201" t="s">
        <v>52</v>
      </c>
      <c r="C201" s="16">
        <v>45891</v>
      </c>
      <c r="D201">
        <v>6586</v>
      </c>
      <c r="F201" t="s">
        <v>1</v>
      </c>
      <c r="H201" s="17">
        <f t="shared" ca="1" si="6"/>
        <v>46174</v>
      </c>
      <c r="I201" s="17" t="str">
        <f t="shared" ca="1" si="7"/>
        <v>90+ Days</v>
      </c>
    </row>
    <row r="202" spans="1:9">
      <c r="A202">
        <v>560</v>
      </c>
      <c r="B202" t="s">
        <v>99</v>
      </c>
      <c r="C202" s="16">
        <v>45891</v>
      </c>
      <c r="D202">
        <v>21056</v>
      </c>
      <c r="F202" t="s">
        <v>27</v>
      </c>
      <c r="H202" s="17">
        <f t="shared" ca="1" si="6"/>
        <v>0</v>
      </c>
      <c r="I202" s="17" t="str">
        <f t="shared" ca="1" si="7"/>
        <v>Not Overdue</v>
      </c>
    </row>
    <row r="203" spans="1:9">
      <c r="A203">
        <v>561</v>
      </c>
      <c r="B203" t="s">
        <v>100</v>
      </c>
      <c r="C203" s="16">
        <v>45892</v>
      </c>
      <c r="D203">
        <v>23075</v>
      </c>
      <c r="F203" t="s">
        <v>1</v>
      </c>
      <c r="H203" s="17">
        <f t="shared" ca="1" si="6"/>
        <v>46174</v>
      </c>
      <c r="I203" s="17" t="str">
        <f t="shared" ca="1" si="7"/>
        <v>90+ Days</v>
      </c>
    </row>
    <row r="204" spans="1:9">
      <c r="A204">
        <v>562</v>
      </c>
      <c r="B204" t="s">
        <v>10</v>
      </c>
      <c r="C204" s="16">
        <v>45892</v>
      </c>
      <c r="D204">
        <v>20645</v>
      </c>
      <c r="F204" t="s">
        <v>1</v>
      </c>
      <c r="H204" s="17">
        <f t="shared" ca="1" si="6"/>
        <v>46174</v>
      </c>
      <c r="I204" s="17" t="str">
        <f t="shared" ca="1" si="7"/>
        <v>90+ Days</v>
      </c>
    </row>
    <row r="205" spans="1:9">
      <c r="A205">
        <v>563</v>
      </c>
      <c r="B205" t="s">
        <v>55</v>
      </c>
      <c r="C205" s="16">
        <v>45894</v>
      </c>
      <c r="D205">
        <v>3492</v>
      </c>
      <c r="F205" t="s">
        <v>1</v>
      </c>
      <c r="H205" s="17">
        <f t="shared" ca="1" si="6"/>
        <v>46174</v>
      </c>
      <c r="I205" s="17" t="str">
        <f t="shared" ca="1" si="7"/>
        <v>90+ Days</v>
      </c>
    </row>
    <row r="206" spans="1:9">
      <c r="A206">
        <v>564</v>
      </c>
      <c r="B206" t="s">
        <v>101</v>
      </c>
      <c r="C206" s="16">
        <v>45894</v>
      </c>
      <c r="D206">
        <v>1652</v>
      </c>
      <c r="F206" t="s">
        <v>1</v>
      </c>
      <c r="H206" s="17">
        <f t="shared" ca="1" si="6"/>
        <v>46174</v>
      </c>
      <c r="I206" s="17" t="str">
        <f t="shared" ca="1" si="7"/>
        <v>90+ Days</v>
      </c>
    </row>
    <row r="207" spans="1:9">
      <c r="A207">
        <v>565</v>
      </c>
      <c r="B207" t="s">
        <v>101</v>
      </c>
      <c r="C207" s="16">
        <v>45894</v>
      </c>
      <c r="D207">
        <v>5264</v>
      </c>
      <c r="F207" t="s">
        <v>27</v>
      </c>
      <c r="H207" s="17">
        <f t="shared" ca="1" si="6"/>
        <v>0</v>
      </c>
      <c r="I207" s="17" t="str">
        <f t="shared" ca="1" si="7"/>
        <v>Not Overdue</v>
      </c>
    </row>
    <row r="208" spans="1:9">
      <c r="A208">
        <v>566</v>
      </c>
      <c r="B208" t="s">
        <v>41</v>
      </c>
      <c r="C208" s="16">
        <v>45894</v>
      </c>
      <c r="D208">
        <v>5824</v>
      </c>
      <c r="F208" t="s">
        <v>1</v>
      </c>
      <c r="H208" s="17">
        <f t="shared" ca="1" si="6"/>
        <v>46174</v>
      </c>
      <c r="I208" s="17" t="str">
        <f t="shared" ca="1" si="7"/>
        <v>90+ Days</v>
      </c>
    </row>
    <row r="209" spans="1:9">
      <c r="A209">
        <v>567</v>
      </c>
      <c r="B209" t="s">
        <v>9</v>
      </c>
      <c r="C209" s="16">
        <v>45894</v>
      </c>
      <c r="D209">
        <v>1534</v>
      </c>
      <c r="F209" t="s">
        <v>1</v>
      </c>
      <c r="H209" s="17">
        <f t="shared" ca="1" si="6"/>
        <v>46174</v>
      </c>
      <c r="I209" s="17" t="str">
        <f t="shared" ca="1" si="7"/>
        <v>90+ Days</v>
      </c>
    </row>
    <row r="210" spans="1:9">
      <c r="A210">
        <v>568</v>
      </c>
      <c r="B210" t="s">
        <v>58</v>
      </c>
      <c r="C210" s="16">
        <v>45894</v>
      </c>
      <c r="D210">
        <v>15116</v>
      </c>
      <c r="F210" t="s">
        <v>27</v>
      </c>
      <c r="H210" s="17">
        <f t="shared" ca="1" si="6"/>
        <v>0</v>
      </c>
      <c r="I210" s="17" t="str">
        <f t="shared" ca="1" si="7"/>
        <v>Not Overdue</v>
      </c>
    </row>
    <row r="211" spans="1:9">
      <c r="A211">
        <v>569</v>
      </c>
      <c r="B211" t="s">
        <v>9</v>
      </c>
      <c r="C211" s="16">
        <v>45895</v>
      </c>
      <c r="D211">
        <v>10738</v>
      </c>
      <c r="F211" t="s">
        <v>1</v>
      </c>
      <c r="H211" s="17">
        <f t="shared" ca="1" si="6"/>
        <v>46174</v>
      </c>
      <c r="I211" s="17" t="str">
        <f t="shared" ca="1" si="7"/>
        <v>90+ Days</v>
      </c>
    </row>
    <row r="212" spans="1:9">
      <c r="A212">
        <v>570</v>
      </c>
      <c r="B212" t="s">
        <v>14</v>
      </c>
      <c r="C212" s="16">
        <v>45895</v>
      </c>
      <c r="D212">
        <v>21504</v>
      </c>
      <c r="F212" t="s">
        <v>1</v>
      </c>
      <c r="H212" s="17">
        <f t="shared" ca="1" si="6"/>
        <v>46174</v>
      </c>
      <c r="I212" s="17" t="str">
        <f t="shared" ca="1" si="7"/>
        <v>90+ Days</v>
      </c>
    </row>
    <row r="213" spans="1:9">
      <c r="A213">
        <v>571</v>
      </c>
      <c r="B213" t="s">
        <v>44</v>
      </c>
      <c r="C213" s="16">
        <v>45896</v>
      </c>
      <c r="D213">
        <v>4390</v>
      </c>
      <c r="F213" t="s">
        <v>1</v>
      </c>
      <c r="H213" s="17">
        <f t="shared" ca="1" si="6"/>
        <v>46174</v>
      </c>
      <c r="I213" s="17" t="str">
        <f t="shared" ca="1" si="7"/>
        <v>90+ Days</v>
      </c>
    </row>
    <row r="214" spans="1:9">
      <c r="A214">
        <v>572</v>
      </c>
      <c r="B214" t="s">
        <v>44</v>
      </c>
      <c r="C214" s="16">
        <v>45896</v>
      </c>
      <c r="D214">
        <v>3896</v>
      </c>
      <c r="F214" t="s">
        <v>1</v>
      </c>
      <c r="H214" s="17">
        <f t="shared" ca="1" si="6"/>
        <v>46174</v>
      </c>
      <c r="I214" s="17" t="str">
        <f t="shared" ca="1" si="7"/>
        <v>90+ Days</v>
      </c>
    </row>
    <row r="215" spans="1:9">
      <c r="A215">
        <v>573</v>
      </c>
      <c r="B215" t="s">
        <v>98</v>
      </c>
      <c r="C215" s="16">
        <v>45896</v>
      </c>
      <c r="D215">
        <v>15770</v>
      </c>
      <c r="F215" t="s">
        <v>27</v>
      </c>
      <c r="H215" s="17">
        <f t="shared" ca="1" si="6"/>
        <v>0</v>
      </c>
      <c r="I215" s="17" t="str">
        <f t="shared" ca="1" si="7"/>
        <v>Not Overdue</v>
      </c>
    </row>
    <row r="216" spans="1:9">
      <c r="A216">
        <v>574</v>
      </c>
      <c r="B216" t="s">
        <v>32</v>
      </c>
      <c r="C216" s="16">
        <v>45896</v>
      </c>
      <c r="D216">
        <v>5421</v>
      </c>
      <c r="F216" t="s">
        <v>1</v>
      </c>
      <c r="H216" s="17">
        <f t="shared" ca="1" si="6"/>
        <v>46174</v>
      </c>
      <c r="I216" s="17" t="str">
        <f t="shared" ca="1" si="7"/>
        <v>90+ Days</v>
      </c>
    </row>
    <row r="217" spans="1:9">
      <c r="A217">
        <v>575</v>
      </c>
      <c r="B217" t="s">
        <v>16</v>
      </c>
      <c r="C217" s="16">
        <v>45896</v>
      </c>
      <c r="D217">
        <v>10976</v>
      </c>
      <c r="F217" t="s">
        <v>1</v>
      </c>
      <c r="H217" s="17">
        <f t="shared" ca="1" si="6"/>
        <v>46174</v>
      </c>
      <c r="I217" s="17" t="str">
        <f t="shared" ca="1" si="7"/>
        <v>90+ Days</v>
      </c>
    </row>
    <row r="218" spans="1:9">
      <c r="A218">
        <v>576</v>
      </c>
      <c r="B218" t="s">
        <v>33</v>
      </c>
      <c r="C218" s="16">
        <v>45896</v>
      </c>
      <c r="D218">
        <v>3763</v>
      </c>
      <c r="F218" t="s">
        <v>1</v>
      </c>
      <c r="H218" s="17">
        <f t="shared" ca="1" si="6"/>
        <v>46174</v>
      </c>
      <c r="I218" s="17" t="str">
        <f t="shared" ca="1" si="7"/>
        <v>90+ Days</v>
      </c>
    </row>
    <row r="219" spans="1:9">
      <c r="A219">
        <v>577</v>
      </c>
      <c r="B219" t="s">
        <v>29</v>
      </c>
      <c r="C219" s="16">
        <v>45896</v>
      </c>
      <c r="D219">
        <v>5376</v>
      </c>
      <c r="F219" t="s">
        <v>1</v>
      </c>
      <c r="H219" s="17">
        <f t="shared" ca="1" si="6"/>
        <v>46174</v>
      </c>
      <c r="I219" s="17" t="str">
        <f t="shared" ca="1" si="7"/>
        <v>90+ Days</v>
      </c>
    </row>
    <row r="220" spans="1:9">
      <c r="A220">
        <v>578</v>
      </c>
      <c r="B220" t="s">
        <v>76</v>
      </c>
      <c r="C220" s="16">
        <v>45896</v>
      </c>
      <c r="D220">
        <v>26243</v>
      </c>
      <c r="F220" t="s">
        <v>1</v>
      </c>
      <c r="H220" s="17">
        <f t="shared" ca="1" si="6"/>
        <v>46174</v>
      </c>
      <c r="I220" s="17" t="str">
        <f t="shared" ca="1" si="7"/>
        <v>90+ Days</v>
      </c>
    </row>
    <row r="221" spans="1:9">
      <c r="A221">
        <v>579</v>
      </c>
      <c r="B221" t="s">
        <v>34</v>
      </c>
      <c r="C221" s="16">
        <v>45896</v>
      </c>
      <c r="D221">
        <v>18846</v>
      </c>
      <c r="F221" t="s">
        <v>1</v>
      </c>
      <c r="H221" s="17">
        <f t="shared" ca="1" si="6"/>
        <v>46174</v>
      </c>
      <c r="I221" s="17" t="str">
        <f t="shared" ca="1" si="7"/>
        <v>90+ Days</v>
      </c>
    </row>
    <row r="222" spans="1:9">
      <c r="A222">
        <v>580</v>
      </c>
      <c r="B222" t="s">
        <v>8</v>
      </c>
      <c r="C222" s="16">
        <v>45896</v>
      </c>
      <c r="D222">
        <v>37828</v>
      </c>
      <c r="F222" t="s">
        <v>1</v>
      </c>
      <c r="H222" s="17">
        <f t="shared" ca="1" si="6"/>
        <v>46174</v>
      </c>
      <c r="I222" s="17" t="str">
        <f t="shared" ca="1" si="7"/>
        <v>90+ Days</v>
      </c>
    </row>
    <row r="223" spans="1:9">
      <c r="A223">
        <v>581</v>
      </c>
      <c r="B223" t="s">
        <v>56</v>
      </c>
      <c r="C223" s="16">
        <v>45896</v>
      </c>
      <c r="D223">
        <v>3660</v>
      </c>
      <c r="F223" t="s">
        <v>1</v>
      </c>
      <c r="H223" s="17">
        <f t="shared" ca="1" si="6"/>
        <v>46174</v>
      </c>
      <c r="I223" s="17" t="str">
        <f t="shared" ca="1" si="7"/>
        <v>90+ Days</v>
      </c>
    </row>
    <row r="224" spans="1:9">
      <c r="A224">
        <v>582</v>
      </c>
      <c r="B224" t="s">
        <v>102</v>
      </c>
      <c r="C224" s="16">
        <v>45896</v>
      </c>
      <c r="D224">
        <v>1121</v>
      </c>
      <c r="F224" t="s">
        <v>27</v>
      </c>
      <c r="H224" s="17">
        <f t="shared" ca="1" si="6"/>
        <v>0</v>
      </c>
      <c r="I224" s="17" t="str">
        <f t="shared" ca="1" si="7"/>
        <v>Not Overdue</v>
      </c>
    </row>
    <row r="225" spans="1:9">
      <c r="A225">
        <v>583</v>
      </c>
      <c r="B225" t="s">
        <v>103</v>
      </c>
      <c r="C225" s="16">
        <v>45897</v>
      </c>
      <c r="D225">
        <v>5163</v>
      </c>
      <c r="F225" t="s">
        <v>1</v>
      </c>
      <c r="H225" s="17">
        <f t="shared" ca="1" si="6"/>
        <v>46174</v>
      </c>
      <c r="I225" s="17" t="str">
        <f t="shared" ca="1" si="7"/>
        <v>90+ Days</v>
      </c>
    </row>
    <row r="226" spans="1:9">
      <c r="A226">
        <v>584</v>
      </c>
      <c r="B226" t="s">
        <v>62</v>
      </c>
      <c r="C226" s="16">
        <v>45897</v>
      </c>
      <c r="D226">
        <v>549</v>
      </c>
      <c r="F226" t="s">
        <v>27</v>
      </c>
      <c r="H226" s="17">
        <f t="shared" ca="1" si="6"/>
        <v>0</v>
      </c>
      <c r="I226" s="17" t="str">
        <f t="shared" ca="1" si="7"/>
        <v>Not Overdue</v>
      </c>
    </row>
    <row r="227" spans="1:9">
      <c r="A227">
        <v>585</v>
      </c>
      <c r="B227" t="s">
        <v>104</v>
      </c>
      <c r="C227" s="16">
        <v>45897</v>
      </c>
      <c r="D227">
        <v>733</v>
      </c>
      <c r="F227" t="s">
        <v>27</v>
      </c>
      <c r="H227" s="17">
        <f t="shared" ca="1" si="6"/>
        <v>0</v>
      </c>
      <c r="I227" s="17" t="str">
        <f t="shared" ca="1" si="7"/>
        <v>Not Overdue</v>
      </c>
    </row>
    <row r="228" spans="1:9">
      <c r="A228">
        <v>586</v>
      </c>
      <c r="B228" t="s">
        <v>11</v>
      </c>
      <c r="C228" s="16">
        <v>45898</v>
      </c>
      <c r="D228">
        <v>17980</v>
      </c>
      <c r="F228" t="s">
        <v>1</v>
      </c>
      <c r="H228" s="17">
        <f t="shared" ca="1" si="6"/>
        <v>46174</v>
      </c>
      <c r="I228" s="17" t="str">
        <f t="shared" ca="1" si="7"/>
        <v>90+ Days</v>
      </c>
    </row>
    <row r="229" spans="1:9">
      <c r="A229">
        <v>587</v>
      </c>
      <c r="B229" t="s">
        <v>105</v>
      </c>
      <c r="C229" s="16">
        <v>45898</v>
      </c>
      <c r="D229">
        <v>3731</v>
      </c>
      <c r="F229" t="s">
        <v>27</v>
      </c>
      <c r="H229" s="17">
        <f t="shared" ca="1" si="6"/>
        <v>0</v>
      </c>
      <c r="I229" s="17" t="str">
        <f t="shared" ca="1" si="7"/>
        <v>Not Overdue</v>
      </c>
    </row>
    <row r="230" spans="1:9">
      <c r="A230">
        <v>588</v>
      </c>
      <c r="B230" t="s">
        <v>10</v>
      </c>
      <c r="C230" s="16">
        <v>45898</v>
      </c>
      <c r="D230">
        <v>10640</v>
      </c>
      <c r="F230" t="s">
        <v>1</v>
      </c>
      <c r="H230" s="17">
        <f t="shared" ca="1" si="6"/>
        <v>46174</v>
      </c>
      <c r="I230" s="17" t="str">
        <f t="shared" ca="1" si="7"/>
        <v>90+ Days</v>
      </c>
    </row>
    <row r="231" spans="1:9">
      <c r="A231">
        <v>589</v>
      </c>
      <c r="B231" t="s">
        <v>16</v>
      </c>
      <c r="C231" s="16">
        <v>45898</v>
      </c>
      <c r="D231">
        <v>5402</v>
      </c>
      <c r="F231" t="s">
        <v>1</v>
      </c>
      <c r="H231" s="17">
        <f t="shared" ca="1" si="6"/>
        <v>46174</v>
      </c>
      <c r="I231" s="17" t="str">
        <f t="shared" ca="1" si="7"/>
        <v>90+ Days</v>
      </c>
    </row>
    <row r="232" spans="1:9">
      <c r="A232">
        <v>590</v>
      </c>
      <c r="B232" t="s">
        <v>45</v>
      </c>
      <c r="C232" s="16">
        <v>45898</v>
      </c>
      <c r="D232">
        <v>20608</v>
      </c>
      <c r="F232" t="s">
        <v>1</v>
      </c>
      <c r="H232" s="17">
        <f t="shared" ca="1" si="6"/>
        <v>46174</v>
      </c>
      <c r="I232" s="17" t="str">
        <f t="shared" ca="1" si="7"/>
        <v>90+ Days</v>
      </c>
    </row>
    <row r="233" spans="1:9">
      <c r="A233">
        <v>591</v>
      </c>
      <c r="B233" t="s">
        <v>106</v>
      </c>
      <c r="C233" s="16">
        <v>45898</v>
      </c>
      <c r="D233">
        <v>10752</v>
      </c>
      <c r="F233" t="s">
        <v>27</v>
      </c>
      <c r="H233" s="17">
        <f t="shared" ca="1" si="6"/>
        <v>0</v>
      </c>
      <c r="I233" s="17" t="str">
        <f t="shared" ca="1" si="7"/>
        <v>Not Overdue</v>
      </c>
    </row>
    <row r="234" spans="1:9">
      <c r="A234">
        <v>592</v>
      </c>
      <c r="B234" t="s">
        <v>7</v>
      </c>
      <c r="C234" s="16">
        <v>45898</v>
      </c>
      <c r="D234">
        <v>1770</v>
      </c>
      <c r="F234" t="s">
        <v>1</v>
      </c>
      <c r="H234" s="17">
        <f t="shared" ca="1" si="6"/>
        <v>46174</v>
      </c>
      <c r="I234" s="17" t="str">
        <f t="shared" ca="1" si="7"/>
        <v>90+ Days</v>
      </c>
    </row>
    <row r="235" spans="1:9">
      <c r="A235">
        <v>593</v>
      </c>
      <c r="B235" t="s">
        <v>62</v>
      </c>
      <c r="C235" s="16">
        <v>45898</v>
      </c>
      <c r="D235">
        <v>3706</v>
      </c>
      <c r="F235" t="s">
        <v>27</v>
      </c>
      <c r="H235" s="17">
        <f t="shared" ca="1" si="6"/>
        <v>0</v>
      </c>
      <c r="I235" s="17" t="str">
        <f t="shared" ca="1" si="7"/>
        <v>Not Overdue</v>
      </c>
    </row>
    <row r="236" spans="1:9">
      <c r="A236">
        <v>594</v>
      </c>
      <c r="B236" t="s">
        <v>58</v>
      </c>
      <c r="C236" s="16">
        <v>45899</v>
      </c>
      <c r="D236">
        <v>21026</v>
      </c>
      <c r="F236" t="s">
        <v>27</v>
      </c>
      <c r="H236" s="17">
        <f t="shared" ca="1" si="6"/>
        <v>0</v>
      </c>
      <c r="I236" s="17" t="str">
        <f t="shared" ca="1" si="7"/>
        <v>Not Overdue</v>
      </c>
    </row>
    <row r="237" spans="1:9">
      <c r="A237">
        <v>595</v>
      </c>
      <c r="B237" t="s">
        <v>12</v>
      </c>
      <c r="C237" s="16">
        <v>45899</v>
      </c>
      <c r="D237">
        <v>20429</v>
      </c>
      <c r="F237" t="s">
        <v>1</v>
      </c>
      <c r="H237" s="17">
        <f t="shared" ca="1" si="6"/>
        <v>46174</v>
      </c>
      <c r="I237" s="17" t="str">
        <f t="shared" ca="1" si="7"/>
        <v>90+ Days</v>
      </c>
    </row>
    <row r="238" spans="1:9">
      <c r="A238">
        <v>596</v>
      </c>
      <c r="B238" t="s">
        <v>51</v>
      </c>
      <c r="C238" s="16">
        <v>45899</v>
      </c>
      <c r="D238">
        <v>20608</v>
      </c>
      <c r="F238" t="s">
        <v>1</v>
      </c>
      <c r="H238" s="17">
        <f t="shared" ca="1" si="6"/>
        <v>46174</v>
      </c>
      <c r="I238" s="17" t="str">
        <f t="shared" ca="1" si="7"/>
        <v>90+ Days</v>
      </c>
    </row>
    <row r="239" spans="1:9">
      <c r="A239">
        <v>597</v>
      </c>
      <c r="B239" t="s">
        <v>104</v>
      </c>
      <c r="C239" s="16">
        <v>45901</v>
      </c>
      <c r="D239">
        <v>470</v>
      </c>
      <c r="F239" t="s">
        <v>27</v>
      </c>
      <c r="H239" s="17">
        <f t="shared" ca="1" si="6"/>
        <v>0</v>
      </c>
      <c r="I239" s="17" t="str">
        <f t="shared" ca="1" si="7"/>
        <v>Not Overdue</v>
      </c>
    </row>
    <row r="240" spans="1:9">
      <c r="A240">
        <v>598</v>
      </c>
      <c r="B240" t="s">
        <v>62</v>
      </c>
      <c r="C240" s="16">
        <v>45902</v>
      </c>
      <c r="D240">
        <v>2744</v>
      </c>
      <c r="F240" t="s">
        <v>27</v>
      </c>
      <c r="H240" s="17">
        <f t="shared" ca="1" si="6"/>
        <v>0</v>
      </c>
      <c r="I240" s="17" t="str">
        <f t="shared" ca="1" si="7"/>
        <v>Not Overdue</v>
      </c>
    </row>
    <row r="241" spans="1:9">
      <c r="A241">
        <v>599</v>
      </c>
      <c r="B241" t="s">
        <v>61</v>
      </c>
      <c r="C241" s="16">
        <v>45902</v>
      </c>
      <c r="D241">
        <v>2856</v>
      </c>
      <c r="F241" t="s">
        <v>1</v>
      </c>
      <c r="H241" s="17">
        <f t="shared" ca="1" si="6"/>
        <v>46174</v>
      </c>
      <c r="I241" s="17" t="str">
        <f t="shared" ca="1" si="7"/>
        <v>90+ Days</v>
      </c>
    </row>
    <row r="242" spans="1:9">
      <c r="A242">
        <v>600</v>
      </c>
      <c r="B242" t="s">
        <v>61</v>
      </c>
      <c r="C242" s="16">
        <v>45902</v>
      </c>
      <c r="D242">
        <v>11551</v>
      </c>
      <c r="F242" t="s">
        <v>1</v>
      </c>
      <c r="H242" s="17">
        <f t="shared" ca="1" si="6"/>
        <v>46174</v>
      </c>
      <c r="I242" s="17" t="str">
        <f t="shared" ca="1" si="7"/>
        <v>90+ Days</v>
      </c>
    </row>
    <row r="243" spans="1:9">
      <c r="A243">
        <v>601</v>
      </c>
      <c r="B243" t="s">
        <v>88</v>
      </c>
      <c r="C243" s="16">
        <v>45902</v>
      </c>
      <c r="D243">
        <v>5288</v>
      </c>
      <c r="F243" t="s">
        <v>1</v>
      </c>
      <c r="H243" s="17">
        <f t="shared" ca="1" si="6"/>
        <v>46174</v>
      </c>
      <c r="I243" s="17" t="str">
        <f t="shared" ca="1" si="7"/>
        <v>90+ Days</v>
      </c>
    </row>
    <row r="244" spans="1:9">
      <c r="A244">
        <v>602</v>
      </c>
      <c r="B244" t="s">
        <v>78</v>
      </c>
      <c r="C244" s="16">
        <v>45902</v>
      </c>
      <c r="D244">
        <v>25835</v>
      </c>
      <c r="F244" t="s">
        <v>1</v>
      </c>
      <c r="H244" s="17">
        <f t="shared" ca="1" si="6"/>
        <v>46174</v>
      </c>
      <c r="I244" s="17" t="str">
        <f t="shared" ca="1" si="7"/>
        <v>90+ Days</v>
      </c>
    </row>
    <row r="245" spans="1:9">
      <c r="A245">
        <v>603</v>
      </c>
      <c r="B245" t="s">
        <v>107</v>
      </c>
      <c r="C245" s="16">
        <v>45902</v>
      </c>
      <c r="D245">
        <v>46313</v>
      </c>
      <c r="F245" t="s">
        <v>1</v>
      </c>
      <c r="H245" s="17">
        <f t="shared" ca="1" si="6"/>
        <v>46174</v>
      </c>
      <c r="I245" s="17" t="str">
        <f t="shared" ca="1" si="7"/>
        <v>90+ Days</v>
      </c>
    </row>
    <row r="246" spans="1:9">
      <c r="A246">
        <v>604</v>
      </c>
      <c r="B246" t="s">
        <v>90</v>
      </c>
      <c r="C246" s="16">
        <v>45902</v>
      </c>
      <c r="D246">
        <v>25054</v>
      </c>
      <c r="F246" t="s">
        <v>1</v>
      </c>
      <c r="H246" s="17">
        <f t="shared" ca="1" si="6"/>
        <v>46174</v>
      </c>
      <c r="I246" s="17" t="str">
        <f t="shared" ca="1" si="7"/>
        <v>90+ Days</v>
      </c>
    </row>
    <row r="247" spans="1:9">
      <c r="A247">
        <v>605</v>
      </c>
      <c r="B247" t="s">
        <v>80</v>
      </c>
      <c r="C247" s="16">
        <v>45902</v>
      </c>
      <c r="D247">
        <v>7896</v>
      </c>
      <c r="F247" t="s">
        <v>1</v>
      </c>
      <c r="H247" s="17">
        <f t="shared" ca="1" si="6"/>
        <v>46174</v>
      </c>
      <c r="I247" s="17" t="str">
        <f t="shared" ca="1" si="7"/>
        <v>90+ Days</v>
      </c>
    </row>
    <row r="248" spans="1:9">
      <c r="A248">
        <v>606</v>
      </c>
      <c r="B248" t="s">
        <v>68</v>
      </c>
      <c r="C248" s="16">
        <v>45902</v>
      </c>
      <c r="D248">
        <v>23732</v>
      </c>
      <c r="F248" t="s">
        <v>1</v>
      </c>
      <c r="H248" s="17">
        <f t="shared" ca="1" si="6"/>
        <v>46174</v>
      </c>
      <c r="I248" s="17" t="str">
        <f t="shared" ca="1" si="7"/>
        <v>90+ Days</v>
      </c>
    </row>
    <row r="249" spans="1:9">
      <c r="A249">
        <v>607</v>
      </c>
      <c r="B249" t="s">
        <v>108</v>
      </c>
      <c r="C249" s="16">
        <v>45903</v>
      </c>
      <c r="D249">
        <v>10304</v>
      </c>
      <c r="F249" t="s">
        <v>27</v>
      </c>
      <c r="H249" s="17">
        <f t="shared" ca="1" si="6"/>
        <v>0</v>
      </c>
      <c r="I249" s="17" t="str">
        <f t="shared" ca="1" si="7"/>
        <v>Not Overdue</v>
      </c>
    </row>
    <row r="250" spans="1:9">
      <c r="A250">
        <v>608</v>
      </c>
      <c r="B250" t="s">
        <v>82</v>
      </c>
      <c r="C250" s="16">
        <v>45903</v>
      </c>
      <c r="D250">
        <v>3626</v>
      </c>
      <c r="F250" t="s">
        <v>1</v>
      </c>
      <c r="H250" s="17">
        <f t="shared" ca="1" si="6"/>
        <v>46174</v>
      </c>
      <c r="I250" s="17" t="str">
        <f t="shared" ca="1" si="7"/>
        <v>90+ Days</v>
      </c>
    </row>
    <row r="251" spans="1:9">
      <c r="A251">
        <v>609</v>
      </c>
      <c r="B251" t="s">
        <v>109</v>
      </c>
      <c r="C251" s="16">
        <v>45904</v>
      </c>
      <c r="D251">
        <v>9787</v>
      </c>
      <c r="F251" t="s">
        <v>1</v>
      </c>
      <c r="H251" s="17">
        <f t="shared" ca="1" si="6"/>
        <v>46174</v>
      </c>
      <c r="I251" s="17" t="str">
        <f t="shared" ca="1" si="7"/>
        <v>90+ Days</v>
      </c>
    </row>
    <row r="252" spans="1:9">
      <c r="A252">
        <v>610</v>
      </c>
      <c r="B252" t="s">
        <v>28</v>
      </c>
      <c r="C252" s="16">
        <v>45904</v>
      </c>
      <c r="D252">
        <v>14592</v>
      </c>
      <c r="F252" t="s">
        <v>1</v>
      </c>
      <c r="H252" s="17">
        <f t="shared" ca="1" si="6"/>
        <v>46174</v>
      </c>
      <c r="I252" s="17" t="str">
        <f t="shared" ca="1" si="7"/>
        <v>90+ Days</v>
      </c>
    </row>
    <row r="253" spans="1:9">
      <c r="A253">
        <v>611</v>
      </c>
      <c r="B253" t="s">
        <v>11</v>
      </c>
      <c r="C253" s="16">
        <v>45904</v>
      </c>
      <c r="D253">
        <v>14427</v>
      </c>
      <c r="F253" t="s">
        <v>1</v>
      </c>
      <c r="H253" s="17">
        <f t="shared" ca="1" si="6"/>
        <v>46174</v>
      </c>
      <c r="I253" s="17" t="str">
        <f t="shared" ca="1" si="7"/>
        <v>90+ Days</v>
      </c>
    </row>
    <row r="254" spans="1:9">
      <c r="A254">
        <v>612</v>
      </c>
      <c r="B254" t="s">
        <v>25</v>
      </c>
      <c r="C254" s="16">
        <v>45904</v>
      </c>
      <c r="D254">
        <v>20608</v>
      </c>
      <c r="F254" t="s">
        <v>1</v>
      </c>
      <c r="H254" s="17">
        <f t="shared" ca="1" si="6"/>
        <v>46174</v>
      </c>
      <c r="I254" s="17" t="str">
        <f t="shared" ca="1" si="7"/>
        <v>90+ Days</v>
      </c>
    </row>
    <row r="255" spans="1:9">
      <c r="A255">
        <v>613</v>
      </c>
      <c r="B255" t="s">
        <v>46</v>
      </c>
      <c r="C255" s="16">
        <v>45904</v>
      </c>
      <c r="D255">
        <v>3777</v>
      </c>
      <c r="F255" t="s">
        <v>1</v>
      </c>
      <c r="H255" s="17">
        <f t="shared" ca="1" si="6"/>
        <v>46174</v>
      </c>
      <c r="I255" s="17" t="str">
        <f t="shared" ca="1" si="7"/>
        <v>90+ Days</v>
      </c>
    </row>
    <row r="256" spans="1:9">
      <c r="A256">
        <v>614</v>
      </c>
      <c r="B256" t="s">
        <v>44</v>
      </c>
      <c r="C256" s="16">
        <v>45904</v>
      </c>
      <c r="D256">
        <v>2744</v>
      </c>
      <c r="F256" t="s">
        <v>1</v>
      </c>
      <c r="H256" s="17">
        <f t="shared" ca="1" si="6"/>
        <v>46174</v>
      </c>
      <c r="I256" s="17" t="str">
        <f t="shared" ca="1" si="7"/>
        <v>90+ Days</v>
      </c>
    </row>
    <row r="257" spans="1:9">
      <c r="A257">
        <v>615</v>
      </c>
      <c r="B257" t="s">
        <v>53</v>
      </c>
      <c r="C257" s="16">
        <v>45904</v>
      </c>
      <c r="D257">
        <v>10416</v>
      </c>
      <c r="F257" t="s">
        <v>1</v>
      </c>
      <c r="H257" s="17">
        <f t="shared" ca="1" si="6"/>
        <v>46174</v>
      </c>
      <c r="I257" s="17" t="str">
        <f t="shared" ca="1" si="7"/>
        <v>90+ Days</v>
      </c>
    </row>
    <row r="258" spans="1:9">
      <c r="A258">
        <v>616</v>
      </c>
      <c r="B258" t="s">
        <v>110</v>
      </c>
      <c r="C258" s="16">
        <v>45904</v>
      </c>
      <c r="D258">
        <v>6451</v>
      </c>
      <c r="F258" t="s">
        <v>1</v>
      </c>
      <c r="H258" s="17">
        <f t="shared" ref="H258:H321" ca="1" si="8">IF(F258="Closed", 0, IF(TODAY()&gt;G258, TODAY()-G258, 0))</f>
        <v>46174</v>
      </c>
      <c r="I258" s="17" t="str">
        <f t="shared" ref="I258:I321" ca="1" si="9">IF(H258=0, "Not Overdue", IF(H258&lt;=30, "1-30 Days", IF(H258&lt;=60, "31-60 Days", IF(H258&lt;=90, "61-90 Days", "90+ Days"))))</f>
        <v>90+ Days</v>
      </c>
    </row>
    <row r="259" spans="1:9">
      <c r="A259">
        <v>617</v>
      </c>
      <c r="B259" t="s">
        <v>71</v>
      </c>
      <c r="C259" s="16">
        <v>45904</v>
      </c>
      <c r="D259">
        <v>10752</v>
      </c>
      <c r="F259" t="s">
        <v>1</v>
      </c>
      <c r="H259" s="17">
        <f t="shared" ca="1" si="8"/>
        <v>46174</v>
      </c>
      <c r="I259" s="17" t="str">
        <f t="shared" ca="1" si="9"/>
        <v>90+ Days</v>
      </c>
    </row>
    <row r="260" spans="1:9">
      <c r="A260">
        <v>618</v>
      </c>
      <c r="B260" t="s">
        <v>71</v>
      </c>
      <c r="C260" s="16">
        <v>45904</v>
      </c>
      <c r="D260">
        <v>4885</v>
      </c>
      <c r="F260" t="s">
        <v>1</v>
      </c>
      <c r="H260" s="17">
        <f t="shared" ca="1" si="8"/>
        <v>46174</v>
      </c>
      <c r="I260" s="17" t="str">
        <f t="shared" ca="1" si="9"/>
        <v>90+ Days</v>
      </c>
    </row>
    <row r="261" spans="1:9">
      <c r="A261">
        <v>619</v>
      </c>
      <c r="B261" t="s">
        <v>71</v>
      </c>
      <c r="C261" s="16">
        <v>45904</v>
      </c>
      <c r="D261">
        <v>9983</v>
      </c>
      <c r="F261" t="s">
        <v>1</v>
      </c>
      <c r="H261" s="17">
        <f t="shared" ca="1" si="8"/>
        <v>46174</v>
      </c>
      <c r="I261" s="17" t="str">
        <f t="shared" ca="1" si="9"/>
        <v>90+ Days</v>
      </c>
    </row>
    <row r="262" spans="1:9">
      <c r="A262">
        <v>620</v>
      </c>
      <c r="B262" t="s">
        <v>111</v>
      </c>
      <c r="C262" s="16">
        <v>45904</v>
      </c>
      <c r="D262">
        <v>39939</v>
      </c>
      <c r="F262" t="s">
        <v>27</v>
      </c>
      <c r="H262" s="17">
        <f t="shared" ca="1" si="8"/>
        <v>0</v>
      </c>
      <c r="I262" s="17" t="str">
        <f t="shared" ca="1" si="9"/>
        <v>Not Overdue</v>
      </c>
    </row>
    <row r="263" spans="1:9">
      <c r="A263">
        <v>621</v>
      </c>
      <c r="B263" t="s">
        <v>41</v>
      </c>
      <c r="C263" s="16">
        <v>45904</v>
      </c>
      <c r="D263">
        <v>2638</v>
      </c>
      <c r="F263" t="s">
        <v>1</v>
      </c>
      <c r="H263" s="17">
        <f t="shared" ca="1" si="8"/>
        <v>46174</v>
      </c>
      <c r="I263" s="17" t="str">
        <f t="shared" ca="1" si="9"/>
        <v>90+ Days</v>
      </c>
    </row>
    <row r="264" spans="1:9">
      <c r="A264">
        <v>622</v>
      </c>
      <c r="B264" t="s">
        <v>112</v>
      </c>
      <c r="C264" s="16">
        <v>45905</v>
      </c>
      <c r="D264">
        <v>43754</v>
      </c>
      <c r="F264" t="s">
        <v>1</v>
      </c>
      <c r="H264" s="17">
        <f t="shared" ca="1" si="8"/>
        <v>46174</v>
      </c>
      <c r="I264" s="17" t="str">
        <f t="shared" ca="1" si="9"/>
        <v>90+ Days</v>
      </c>
    </row>
    <row r="265" spans="1:9">
      <c r="A265">
        <v>623</v>
      </c>
      <c r="B265" t="s">
        <v>112</v>
      </c>
      <c r="C265" s="16">
        <v>45905</v>
      </c>
      <c r="D265">
        <v>13216</v>
      </c>
      <c r="F265" t="s">
        <v>1</v>
      </c>
      <c r="H265" s="17">
        <f t="shared" ca="1" si="8"/>
        <v>46174</v>
      </c>
      <c r="I265" s="17" t="str">
        <f t="shared" ca="1" si="9"/>
        <v>90+ Days</v>
      </c>
    </row>
    <row r="266" spans="1:9">
      <c r="A266">
        <v>624</v>
      </c>
      <c r="B266" t="s">
        <v>10</v>
      </c>
      <c r="C266" s="16">
        <v>45905</v>
      </c>
      <c r="D266">
        <v>26235</v>
      </c>
      <c r="F266" t="s">
        <v>1</v>
      </c>
      <c r="H266" s="17">
        <f t="shared" ca="1" si="8"/>
        <v>46174</v>
      </c>
      <c r="I266" s="17" t="str">
        <f t="shared" ca="1" si="9"/>
        <v>90+ Days</v>
      </c>
    </row>
    <row r="267" spans="1:9">
      <c r="A267">
        <v>625</v>
      </c>
      <c r="B267" t="s">
        <v>105</v>
      </c>
      <c r="C267" s="16">
        <v>45905</v>
      </c>
      <c r="D267">
        <v>7486</v>
      </c>
      <c r="F267" t="s">
        <v>27</v>
      </c>
      <c r="H267" s="17">
        <f t="shared" ca="1" si="8"/>
        <v>0</v>
      </c>
      <c r="I267" s="17" t="str">
        <f t="shared" ca="1" si="9"/>
        <v>Not Overdue</v>
      </c>
    </row>
    <row r="268" spans="1:9">
      <c r="A268">
        <v>626</v>
      </c>
      <c r="B268" t="s">
        <v>15</v>
      </c>
      <c r="C268" s="16">
        <v>45905</v>
      </c>
      <c r="D268">
        <v>13859</v>
      </c>
      <c r="F268" t="s">
        <v>1</v>
      </c>
      <c r="H268" s="17">
        <f t="shared" ca="1" si="8"/>
        <v>46174</v>
      </c>
      <c r="I268" s="17" t="str">
        <f t="shared" ca="1" si="9"/>
        <v>90+ Days</v>
      </c>
    </row>
    <row r="269" spans="1:9">
      <c r="A269">
        <v>627</v>
      </c>
      <c r="B269" t="s">
        <v>15</v>
      </c>
      <c r="C269" s="16">
        <v>45905</v>
      </c>
      <c r="D269">
        <v>4673</v>
      </c>
      <c r="F269" t="s">
        <v>1</v>
      </c>
      <c r="H269" s="17">
        <f t="shared" ca="1" si="8"/>
        <v>46174</v>
      </c>
      <c r="I269" s="17" t="str">
        <f t="shared" ca="1" si="9"/>
        <v>90+ Days</v>
      </c>
    </row>
    <row r="270" spans="1:9">
      <c r="A270">
        <v>628</v>
      </c>
      <c r="B270" t="s">
        <v>113</v>
      </c>
      <c r="C270" s="16">
        <v>45905</v>
      </c>
      <c r="D270">
        <v>1652</v>
      </c>
      <c r="F270" t="s">
        <v>27</v>
      </c>
      <c r="H270" s="17">
        <f t="shared" ca="1" si="8"/>
        <v>0</v>
      </c>
      <c r="I270" s="17" t="str">
        <f t="shared" ca="1" si="9"/>
        <v>Not Overdue</v>
      </c>
    </row>
    <row r="271" spans="1:9">
      <c r="A271">
        <v>629</v>
      </c>
      <c r="B271" t="s">
        <v>113</v>
      </c>
      <c r="C271" s="16">
        <v>45905</v>
      </c>
      <c r="D271">
        <v>1215</v>
      </c>
      <c r="F271" t="s">
        <v>27</v>
      </c>
      <c r="H271" s="17">
        <f t="shared" ca="1" si="8"/>
        <v>0</v>
      </c>
      <c r="I271" s="17" t="str">
        <f t="shared" ca="1" si="9"/>
        <v>Not Overdue</v>
      </c>
    </row>
    <row r="272" spans="1:9">
      <c r="A272">
        <v>630</v>
      </c>
      <c r="B272" t="s">
        <v>7</v>
      </c>
      <c r="C272" s="16">
        <v>45906</v>
      </c>
      <c r="D272">
        <v>18307</v>
      </c>
      <c r="F272" t="s">
        <v>1</v>
      </c>
      <c r="H272" s="17">
        <f t="shared" ca="1" si="8"/>
        <v>46174</v>
      </c>
      <c r="I272" s="17" t="str">
        <f t="shared" ca="1" si="9"/>
        <v>90+ Days</v>
      </c>
    </row>
    <row r="273" spans="1:9">
      <c r="A273">
        <v>631</v>
      </c>
      <c r="B273" t="s">
        <v>7</v>
      </c>
      <c r="C273" s="16">
        <v>45906</v>
      </c>
      <c r="D273">
        <v>4868</v>
      </c>
      <c r="F273" t="s">
        <v>1</v>
      </c>
      <c r="H273" s="17">
        <f t="shared" ca="1" si="8"/>
        <v>46174</v>
      </c>
      <c r="I273" s="17" t="str">
        <f t="shared" ca="1" si="9"/>
        <v>90+ Days</v>
      </c>
    </row>
    <row r="274" spans="1:9">
      <c r="A274">
        <v>632</v>
      </c>
      <c r="B274" t="s">
        <v>7</v>
      </c>
      <c r="C274" s="16">
        <v>45908</v>
      </c>
      <c r="D274">
        <v>3540</v>
      </c>
      <c r="F274" t="s">
        <v>1</v>
      </c>
      <c r="H274" s="17">
        <f t="shared" ca="1" si="8"/>
        <v>46174</v>
      </c>
      <c r="I274" s="17" t="str">
        <f t="shared" ca="1" si="9"/>
        <v>90+ Days</v>
      </c>
    </row>
    <row r="275" spans="1:9">
      <c r="A275">
        <v>633</v>
      </c>
      <c r="B275" t="s">
        <v>14</v>
      </c>
      <c r="C275" s="16">
        <v>45908</v>
      </c>
      <c r="D275">
        <v>14024</v>
      </c>
      <c r="F275" t="s">
        <v>1</v>
      </c>
      <c r="H275" s="17">
        <f t="shared" ca="1" si="8"/>
        <v>46174</v>
      </c>
      <c r="I275" s="17" t="str">
        <f t="shared" ca="1" si="9"/>
        <v>90+ Days</v>
      </c>
    </row>
    <row r="276" spans="1:9">
      <c r="A276">
        <v>634</v>
      </c>
      <c r="B276" t="s">
        <v>40</v>
      </c>
      <c r="C276" s="16">
        <v>45908</v>
      </c>
      <c r="D276">
        <v>7063</v>
      </c>
      <c r="F276" t="s">
        <v>1</v>
      </c>
      <c r="H276" s="17">
        <f t="shared" ca="1" si="8"/>
        <v>46174</v>
      </c>
      <c r="I276" s="17" t="str">
        <f t="shared" ca="1" si="9"/>
        <v>90+ Days</v>
      </c>
    </row>
    <row r="277" spans="1:9">
      <c r="A277">
        <v>635</v>
      </c>
      <c r="B277" t="s">
        <v>12</v>
      </c>
      <c r="C277" s="16">
        <v>45908</v>
      </c>
      <c r="D277">
        <v>10214</v>
      </c>
      <c r="F277" t="s">
        <v>1</v>
      </c>
      <c r="H277" s="17">
        <f t="shared" ca="1" si="8"/>
        <v>46174</v>
      </c>
      <c r="I277" s="17" t="str">
        <f t="shared" ca="1" si="9"/>
        <v>90+ Days</v>
      </c>
    </row>
    <row r="278" spans="1:9">
      <c r="A278">
        <v>636</v>
      </c>
      <c r="B278" t="s">
        <v>12</v>
      </c>
      <c r="C278" s="16">
        <v>45908</v>
      </c>
      <c r="D278">
        <v>10214</v>
      </c>
      <c r="F278" t="s">
        <v>1</v>
      </c>
      <c r="H278" s="17">
        <f t="shared" ca="1" si="8"/>
        <v>46174</v>
      </c>
      <c r="I278" s="17" t="str">
        <f t="shared" ca="1" si="9"/>
        <v>90+ Days</v>
      </c>
    </row>
    <row r="279" spans="1:9">
      <c r="A279">
        <v>637</v>
      </c>
      <c r="B279" t="s">
        <v>91</v>
      </c>
      <c r="C279" s="16">
        <v>45909</v>
      </c>
      <c r="D279">
        <v>10528</v>
      </c>
      <c r="F279" t="s">
        <v>27</v>
      </c>
      <c r="G279" s="16">
        <v>45939</v>
      </c>
      <c r="H279" s="17">
        <f t="shared" ca="1" si="8"/>
        <v>0</v>
      </c>
      <c r="I279" s="17" t="str">
        <f t="shared" ca="1" si="9"/>
        <v>Not Overdue</v>
      </c>
    </row>
    <row r="280" spans="1:9">
      <c r="A280">
        <v>638</v>
      </c>
      <c r="B280" t="s">
        <v>84</v>
      </c>
      <c r="C280" s="16">
        <v>45909</v>
      </c>
      <c r="D280">
        <v>15223</v>
      </c>
      <c r="F280" t="s">
        <v>27</v>
      </c>
      <c r="G280" s="16">
        <v>45939</v>
      </c>
      <c r="H280" s="17">
        <f t="shared" ca="1" si="8"/>
        <v>0</v>
      </c>
      <c r="I280" s="17" t="str">
        <f t="shared" ca="1" si="9"/>
        <v>Not Overdue</v>
      </c>
    </row>
    <row r="281" spans="1:9">
      <c r="A281">
        <v>639</v>
      </c>
      <c r="B281" t="s">
        <v>31</v>
      </c>
      <c r="C281" s="16">
        <v>45909</v>
      </c>
      <c r="D281">
        <v>10090</v>
      </c>
      <c r="F281" t="s">
        <v>1</v>
      </c>
      <c r="G281" s="16">
        <v>45916</v>
      </c>
      <c r="H281" s="17">
        <f t="shared" ca="1" si="8"/>
        <v>258</v>
      </c>
      <c r="I281" s="17" t="str">
        <f t="shared" ca="1" si="9"/>
        <v>90+ Days</v>
      </c>
    </row>
    <row r="282" spans="1:9">
      <c r="A282">
        <v>640</v>
      </c>
      <c r="B282" t="s">
        <v>33</v>
      </c>
      <c r="C282" s="16">
        <v>45909</v>
      </c>
      <c r="D282">
        <v>3823</v>
      </c>
      <c r="F282" t="s">
        <v>1</v>
      </c>
      <c r="G282" s="16">
        <v>45916</v>
      </c>
      <c r="H282" s="17">
        <f t="shared" ca="1" si="8"/>
        <v>258</v>
      </c>
      <c r="I282" s="17" t="str">
        <f t="shared" ca="1" si="9"/>
        <v>90+ Days</v>
      </c>
    </row>
    <row r="283" spans="1:9">
      <c r="A283">
        <v>641</v>
      </c>
      <c r="B283" t="s">
        <v>29</v>
      </c>
      <c r="C283" s="16">
        <v>45909</v>
      </c>
      <c r="D283">
        <v>5981</v>
      </c>
      <c r="F283" t="s">
        <v>1</v>
      </c>
      <c r="G283" s="16">
        <v>45916</v>
      </c>
      <c r="H283" s="17">
        <f t="shared" ca="1" si="8"/>
        <v>258</v>
      </c>
      <c r="I283" s="17" t="str">
        <f t="shared" ca="1" si="9"/>
        <v>90+ Days</v>
      </c>
    </row>
    <row r="284" spans="1:9">
      <c r="A284">
        <v>642</v>
      </c>
      <c r="B284" t="s">
        <v>26</v>
      </c>
      <c r="C284" s="16">
        <v>45909</v>
      </c>
      <c r="D284">
        <v>2729</v>
      </c>
      <c r="F284" t="s">
        <v>1</v>
      </c>
      <c r="G284" s="16">
        <v>45916</v>
      </c>
      <c r="H284" s="17">
        <f t="shared" ca="1" si="8"/>
        <v>258</v>
      </c>
      <c r="I284" s="17" t="str">
        <f t="shared" ca="1" si="9"/>
        <v>90+ Days</v>
      </c>
    </row>
    <row r="285" spans="1:9">
      <c r="A285">
        <v>643</v>
      </c>
      <c r="B285" t="s">
        <v>66</v>
      </c>
      <c r="C285" s="16">
        <v>45909</v>
      </c>
      <c r="D285">
        <v>4929</v>
      </c>
      <c r="F285" t="s">
        <v>1</v>
      </c>
      <c r="G285" s="16">
        <v>45939</v>
      </c>
      <c r="H285" s="17">
        <f t="shared" ca="1" si="8"/>
        <v>235</v>
      </c>
      <c r="I285" s="17" t="str">
        <f t="shared" ca="1" si="9"/>
        <v>90+ Days</v>
      </c>
    </row>
    <row r="286" spans="1:9">
      <c r="A286">
        <v>644</v>
      </c>
      <c r="B286" t="s">
        <v>41</v>
      </c>
      <c r="C286" s="16">
        <v>45909</v>
      </c>
      <c r="D286">
        <v>3691</v>
      </c>
      <c r="F286" t="s">
        <v>1</v>
      </c>
      <c r="G286" s="16">
        <v>45916</v>
      </c>
      <c r="H286" s="17">
        <f t="shared" ca="1" si="8"/>
        <v>258</v>
      </c>
      <c r="I286" s="17" t="str">
        <f t="shared" ca="1" si="9"/>
        <v>90+ Days</v>
      </c>
    </row>
    <row r="287" spans="1:9">
      <c r="A287">
        <v>645</v>
      </c>
      <c r="B287" t="s">
        <v>88</v>
      </c>
      <c r="C287" s="16">
        <v>45909</v>
      </c>
      <c r="D287">
        <v>5072</v>
      </c>
      <c r="F287" t="s">
        <v>1</v>
      </c>
      <c r="G287" s="16">
        <v>45939</v>
      </c>
      <c r="H287" s="17">
        <f t="shared" ca="1" si="8"/>
        <v>235</v>
      </c>
      <c r="I287" s="17" t="str">
        <f t="shared" ca="1" si="9"/>
        <v>90+ Days</v>
      </c>
    </row>
    <row r="288" spans="1:9">
      <c r="A288">
        <v>646</v>
      </c>
      <c r="B288" t="s">
        <v>88</v>
      </c>
      <c r="C288" s="16">
        <v>45909</v>
      </c>
      <c r="D288">
        <v>5320</v>
      </c>
      <c r="F288" t="s">
        <v>1</v>
      </c>
      <c r="G288" s="16">
        <v>45939</v>
      </c>
      <c r="H288" s="17">
        <f t="shared" ca="1" si="8"/>
        <v>235</v>
      </c>
      <c r="I288" s="17" t="str">
        <f t="shared" ca="1" si="9"/>
        <v>90+ Days</v>
      </c>
    </row>
    <row r="289" spans="1:9">
      <c r="A289">
        <v>647</v>
      </c>
      <c r="B289" t="s">
        <v>114</v>
      </c>
      <c r="C289" s="16">
        <v>45909</v>
      </c>
      <c r="D289">
        <v>10080</v>
      </c>
      <c r="F289" t="s">
        <v>1</v>
      </c>
      <c r="G289" s="16">
        <v>45939</v>
      </c>
      <c r="H289" s="17">
        <f t="shared" ca="1" si="8"/>
        <v>235</v>
      </c>
      <c r="I289" s="17" t="str">
        <f t="shared" ca="1" si="9"/>
        <v>90+ Days</v>
      </c>
    </row>
    <row r="290" spans="1:9">
      <c r="A290">
        <v>648</v>
      </c>
      <c r="B290" t="s">
        <v>115</v>
      </c>
      <c r="C290" s="16">
        <v>45910</v>
      </c>
      <c r="D290">
        <v>3698</v>
      </c>
      <c r="F290" t="s">
        <v>1</v>
      </c>
      <c r="G290" s="16">
        <v>45940</v>
      </c>
      <c r="H290" s="17">
        <f t="shared" ca="1" si="8"/>
        <v>234</v>
      </c>
      <c r="I290" s="17" t="str">
        <f t="shared" ca="1" si="9"/>
        <v>90+ Days</v>
      </c>
    </row>
    <row r="291" spans="1:9">
      <c r="A291">
        <v>649</v>
      </c>
      <c r="B291" t="s">
        <v>56</v>
      </c>
      <c r="C291" s="16">
        <v>45910</v>
      </c>
      <c r="D291">
        <v>7953</v>
      </c>
      <c r="F291" t="s">
        <v>1</v>
      </c>
      <c r="G291" s="16">
        <v>45940</v>
      </c>
      <c r="H291" s="17">
        <f t="shared" ca="1" si="8"/>
        <v>234</v>
      </c>
      <c r="I291" s="17" t="str">
        <f t="shared" ca="1" si="9"/>
        <v>90+ Days</v>
      </c>
    </row>
    <row r="292" spans="1:9">
      <c r="A292">
        <v>650</v>
      </c>
      <c r="B292" t="s">
        <v>116</v>
      </c>
      <c r="C292" s="16">
        <v>45910</v>
      </c>
      <c r="D292">
        <v>5501</v>
      </c>
      <c r="F292" t="s">
        <v>27</v>
      </c>
      <c r="G292" s="16">
        <v>45917</v>
      </c>
      <c r="H292" s="17">
        <f t="shared" ca="1" si="8"/>
        <v>0</v>
      </c>
      <c r="I292" s="17" t="str">
        <f t="shared" ca="1" si="9"/>
        <v>Not Overdue</v>
      </c>
    </row>
    <row r="293" spans="1:9">
      <c r="A293">
        <v>651</v>
      </c>
      <c r="B293" t="s">
        <v>39</v>
      </c>
      <c r="C293" s="16">
        <v>45910</v>
      </c>
      <c r="D293">
        <v>5376</v>
      </c>
      <c r="F293" t="s">
        <v>1</v>
      </c>
      <c r="G293" s="16">
        <v>45940</v>
      </c>
      <c r="H293" s="17">
        <f t="shared" ca="1" si="8"/>
        <v>234</v>
      </c>
      <c r="I293" s="17" t="str">
        <f t="shared" ca="1" si="9"/>
        <v>90+ Days</v>
      </c>
    </row>
    <row r="294" spans="1:9">
      <c r="A294">
        <v>652</v>
      </c>
      <c r="B294" t="s">
        <v>54</v>
      </c>
      <c r="C294" s="16">
        <v>45912</v>
      </c>
      <c r="D294">
        <v>3827</v>
      </c>
      <c r="F294" t="s">
        <v>1</v>
      </c>
      <c r="H294" s="17">
        <f t="shared" ca="1" si="8"/>
        <v>46174</v>
      </c>
      <c r="I294" s="17" t="str">
        <f t="shared" ca="1" si="9"/>
        <v>90+ Days</v>
      </c>
    </row>
    <row r="295" spans="1:9">
      <c r="A295">
        <v>653</v>
      </c>
      <c r="B295" t="s">
        <v>54</v>
      </c>
      <c r="C295" s="16">
        <v>45912</v>
      </c>
      <c r="D295">
        <v>3091</v>
      </c>
      <c r="F295" t="s">
        <v>1</v>
      </c>
      <c r="H295" s="17">
        <f t="shared" ca="1" si="8"/>
        <v>46174</v>
      </c>
      <c r="I295" s="17" t="str">
        <f t="shared" ca="1" si="9"/>
        <v>90+ Days</v>
      </c>
    </row>
    <row r="296" spans="1:9">
      <c r="A296">
        <v>654</v>
      </c>
      <c r="B296" t="s">
        <v>53</v>
      </c>
      <c r="C296" s="16">
        <v>45912</v>
      </c>
      <c r="D296">
        <v>2183</v>
      </c>
      <c r="F296" t="s">
        <v>1</v>
      </c>
      <c r="H296" s="17">
        <f t="shared" ca="1" si="8"/>
        <v>46174</v>
      </c>
      <c r="I296" s="17" t="str">
        <f t="shared" ca="1" si="9"/>
        <v>90+ Days</v>
      </c>
    </row>
    <row r="297" spans="1:9">
      <c r="A297">
        <v>655</v>
      </c>
      <c r="B297" t="s">
        <v>70</v>
      </c>
      <c r="C297" s="16">
        <v>45913</v>
      </c>
      <c r="D297">
        <v>15253</v>
      </c>
      <c r="F297" t="s">
        <v>27</v>
      </c>
      <c r="H297" s="17">
        <f t="shared" ca="1" si="8"/>
        <v>0</v>
      </c>
      <c r="I297" s="17" t="str">
        <f t="shared" ca="1" si="9"/>
        <v>Not Overdue</v>
      </c>
    </row>
    <row r="298" spans="1:9">
      <c r="A298">
        <v>656</v>
      </c>
      <c r="B298" t="s">
        <v>70</v>
      </c>
      <c r="C298" s="16">
        <v>45913</v>
      </c>
      <c r="D298">
        <v>2688</v>
      </c>
      <c r="F298" t="s">
        <v>27</v>
      </c>
      <c r="H298" s="17">
        <f t="shared" ca="1" si="8"/>
        <v>0</v>
      </c>
      <c r="I298" s="17" t="str">
        <f t="shared" ca="1" si="9"/>
        <v>Not Overdue</v>
      </c>
    </row>
    <row r="299" spans="1:9">
      <c r="A299">
        <v>657</v>
      </c>
      <c r="B299" t="s">
        <v>47</v>
      </c>
      <c r="C299" s="16">
        <v>45913</v>
      </c>
      <c r="D299">
        <v>2280</v>
      </c>
      <c r="F299" t="s">
        <v>1</v>
      </c>
      <c r="H299" s="17">
        <f t="shared" ca="1" si="8"/>
        <v>46174</v>
      </c>
      <c r="I299" s="17" t="str">
        <f t="shared" ca="1" si="9"/>
        <v>90+ Days</v>
      </c>
    </row>
    <row r="300" spans="1:9">
      <c r="A300">
        <v>658</v>
      </c>
      <c r="B300" t="s">
        <v>62</v>
      </c>
      <c r="C300" s="16">
        <v>45913</v>
      </c>
      <c r="D300">
        <v>3781</v>
      </c>
      <c r="F300" t="s">
        <v>1</v>
      </c>
      <c r="H300" s="17">
        <f t="shared" ca="1" si="8"/>
        <v>46174</v>
      </c>
      <c r="I300" s="17" t="str">
        <f t="shared" ca="1" si="9"/>
        <v>90+ Days</v>
      </c>
    </row>
    <row r="301" spans="1:9">
      <c r="A301">
        <v>659</v>
      </c>
      <c r="B301" t="s">
        <v>62</v>
      </c>
      <c r="C301" s="16">
        <v>45913</v>
      </c>
      <c r="D301">
        <v>2195</v>
      </c>
      <c r="F301" t="s">
        <v>1</v>
      </c>
      <c r="H301" s="17">
        <f t="shared" ca="1" si="8"/>
        <v>46174</v>
      </c>
      <c r="I301" s="17" t="str">
        <f t="shared" ca="1" si="9"/>
        <v>90+ Days</v>
      </c>
    </row>
    <row r="302" spans="1:9">
      <c r="A302">
        <v>660</v>
      </c>
      <c r="B302" t="s">
        <v>43</v>
      </c>
      <c r="C302" s="16">
        <v>45913</v>
      </c>
      <c r="D302">
        <v>21056</v>
      </c>
      <c r="F302" t="s">
        <v>1</v>
      </c>
      <c r="H302" s="17">
        <f t="shared" ca="1" si="8"/>
        <v>46174</v>
      </c>
      <c r="I302" s="17" t="str">
        <f t="shared" ca="1" si="9"/>
        <v>90+ Days</v>
      </c>
    </row>
    <row r="303" spans="1:9">
      <c r="A303">
        <v>661</v>
      </c>
      <c r="B303" t="s">
        <v>33</v>
      </c>
      <c r="C303" s="16">
        <v>45915</v>
      </c>
      <c r="D303">
        <v>3790</v>
      </c>
      <c r="F303" t="s">
        <v>1</v>
      </c>
      <c r="H303" s="17">
        <f t="shared" ca="1" si="8"/>
        <v>46174</v>
      </c>
      <c r="I303" s="17" t="str">
        <f t="shared" ca="1" si="9"/>
        <v>90+ Days</v>
      </c>
    </row>
    <row r="304" spans="1:9">
      <c r="A304">
        <v>662</v>
      </c>
      <c r="B304" t="s">
        <v>16</v>
      </c>
      <c r="C304" s="16">
        <v>45915</v>
      </c>
      <c r="D304">
        <v>5369</v>
      </c>
      <c r="F304" t="s">
        <v>1</v>
      </c>
      <c r="H304" s="17">
        <f t="shared" ca="1" si="8"/>
        <v>46174</v>
      </c>
      <c r="I304" s="17" t="str">
        <f t="shared" ca="1" si="9"/>
        <v>90+ Days</v>
      </c>
    </row>
    <row r="305" spans="1:9">
      <c r="A305">
        <v>663</v>
      </c>
      <c r="B305" t="s">
        <v>16</v>
      </c>
      <c r="C305" s="16">
        <v>45915</v>
      </c>
      <c r="D305">
        <v>10976</v>
      </c>
      <c r="F305" t="s">
        <v>1</v>
      </c>
      <c r="H305" s="17">
        <f t="shared" ca="1" si="8"/>
        <v>46174</v>
      </c>
      <c r="I305" s="17" t="str">
        <f t="shared" ca="1" si="9"/>
        <v>90+ Days</v>
      </c>
    </row>
    <row r="306" spans="1:9">
      <c r="A306">
        <v>664</v>
      </c>
      <c r="B306" t="s">
        <v>65</v>
      </c>
      <c r="C306" s="16">
        <v>45915</v>
      </c>
      <c r="D306">
        <v>10752</v>
      </c>
      <c r="F306" t="s">
        <v>1</v>
      </c>
      <c r="H306" s="17">
        <f t="shared" ca="1" si="8"/>
        <v>46174</v>
      </c>
      <c r="I306" s="17" t="str">
        <f t="shared" ca="1" si="9"/>
        <v>90+ Days</v>
      </c>
    </row>
    <row r="307" spans="1:9">
      <c r="A307">
        <v>665</v>
      </c>
      <c r="B307" t="s">
        <v>32</v>
      </c>
      <c r="C307" s="16">
        <v>45915</v>
      </c>
      <c r="D307">
        <v>8101</v>
      </c>
      <c r="F307" t="s">
        <v>1</v>
      </c>
      <c r="H307" s="17">
        <f t="shared" ca="1" si="8"/>
        <v>46174</v>
      </c>
      <c r="I307" s="17" t="str">
        <f t="shared" ca="1" si="9"/>
        <v>90+ Days</v>
      </c>
    </row>
    <row r="308" spans="1:9">
      <c r="A308">
        <v>666</v>
      </c>
      <c r="B308" t="s">
        <v>28</v>
      </c>
      <c r="C308" s="16">
        <v>45915</v>
      </c>
      <c r="D308">
        <v>16874</v>
      </c>
      <c r="F308" t="s">
        <v>1</v>
      </c>
      <c r="H308" s="17">
        <f t="shared" ca="1" si="8"/>
        <v>46174</v>
      </c>
      <c r="I308" s="17" t="str">
        <f t="shared" ca="1" si="9"/>
        <v>90+ Days</v>
      </c>
    </row>
    <row r="309" spans="1:9">
      <c r="A309">
        <v>667</v>
      </c>
      <c r="B309" t="s">
        <v>97</v>
      </c>
      <c r="C309" s="16">
        <v>45915</v>
      </c>
      <c r="D309">
        <v>10416</v>
      </c>
      <c r="F309" t="s">
        <v>1</v>
      </c>
      <c r="H309" s="17">
        <f t="shared" ca="1" si="8"/>
        <v>46174</v>
      </c>
      <c r="I309" s="17" t="str">
        <f t="shared" ca="1" si="9"/>
        <v>90+ Days</v>
      </c>
    </row>
    <row r="310" spans="1:9">
      <c r="A310">
        <v>668</v>
      </c>
      <c r="B310" t="s">
        <v>14</v>
      </c>
      <c r="C310" s="16">
        <v>45915</v>
      </c>
      <c r="D310">
        <v>21504</v>
      </c>
      <c r="F310" t="s">
        <v>1</v>
      </c>
      <c r="H310" s="17">
        <f t="shared" ca="1" si="8"/>
        <v>46174</v>
      </c>
      <c r="I310" s="17" t="str">
        <f t="shared" ca="1" si="9"/>
        <v>90+ Days</v>
      </c>
    </row>
    <row r="311" spans="1:9">
      <c r="A311">
        <v>669</v>
      </c>
      <c r="B311" t="s">
        <v>7</v>
      </c>
      <c r="C311" s="16">
        <v>45916</v>
      </c>
      <c r="D311">
        <v>6085</v>
      </c>
      <c r="F311" t="s">
        <v>1</v>
      </c>
      <c r="H311" s="17">
        <f t="shared" ca="1" si="8"/>
        <v>46174</v>
      </c>
      <c r="I311" s="17" t="str">
        <f t="shared" ca="1" si="9"/>
        <v>90+ Days</v>
      </c>
    </row>
    <row r="312" spans="1:9">
      <c r="A312">
        <v>670</v>
      </c>
      <c r="B312" t="s">
        <v>7</v>
      </c>
      <c r="C312" s="16">
        <v>45916</v>
      </c>
      <c r="D312">
        <v>32450</v>
      </c>
      <c r="F312" t="s">
        <v>1</v>
      </c>
      <c r="H312" s="17">
        <f t="shared" ca="1" si="8"/>
        <v>46174</v>
      </c>
      <c r="I312" s="17" t="str">
        <f t="shared" ca="1" si="9"/>
        <v>90+ Days</v>
      </c>
    </row>
    <row r="313" spans="1:9">
      <c r="A313">
        <v>671</v>
      </c>
      <c r="B313" t="s">
        <v>117</v>
      </c>
      <c r="C313" s="16">
        <v>45917</v>
      </c>
      <c r="D313">
        <v>5886</v>
      </c>
      <c r="F313" t="s">
        <v>27</v>
      </c>
      <c r="H313" s="17">
        <f t="shared" ca="1" si="8"/>
        <v>0</v>
      </c>
      <c r="I313" s="17" t="str">
        <f t="shared" ca="1" si="9"/>
        <v>Not Overdue</v>
      </c>
    </row>
    <row r="314" spans="1:9">
      <c r="A314">
        <v>672</v>
      </c>
      <c r="B314" t="s">
        <v>40</v>
      </c>
      <c r="C314" s="16">
        <v>45919</v>
      </c>
      <c r="D314">
        <v>3521</v>
      </c>
      <c r="F314" t="s">
        <v>1</v>
      </c>
      <c r="H314" s="17">
        <f t="shared" ca="1" si="8"/>
        <v>46174</v>
      </c>
      <c r="I314" s="17" t="str">
        <f t="shared" ca="1" si="9"/>
        <v>90+ Days</v>
      </c>
    </row>
    <row r="315" spans="1:9">
      <c r="A315">
        <v>673</v>
      </c>
      <c r="B315" t="s">
        <v>44</v>
      </c>
      <c r="C315" s="16">
        <v>45919</v>
      </c>
      <c r="D315">
        <v>3775</v>
      </c>
      <c r="F315" t="s">
        <v>1</v>
      </c>
      <c r="H315" s="17">
        <f t="shared" ca="1" si="8"/>
        <v>46174</v>
      </c>
      <c r="I315" s="17" t="str">
        <f t="shared" ca="1" si="9"/>
        <v>90+ Days</v>
      </c>
    </row>
    <row r="316" spans="1:9">
      <c r="A316">
        <v>674</v>
      </c>
      <c r="B316" t="s">
        <v>44</v>
      </c>
      <c r="C316" s="16">
        <v>45919</v>
      </c>
      <c r="D316">
        <v>5488</v>
      </c>
      <c r="F316" t="s">
        <v>1</v>
      </c>
      <c r="H316" s="17">
        <f t="shared" ca="1" si="8"/>
        <v>46174</v>
      </c>
      <c r="I316" s="17" t="str">
        <f t="shared" ca="1" si="9"/>
        <v>90+ Days</v>
      </c>
    </row>
    <row r="317" spans="1:9">
      <c r="A317">
        <v>675</v>
      </c>
      <c r="B317" t="s">
        <v>61</v>
      </c>
      <c r="C317" s="16">
        <v>45919</v>
      </c>
      <c r="D317">
        <v>5601</v>
      </c>
      <c r="F317" t="s">
        <v>1</v>
      </c>
      <c r="H317" s="17">
        <f t="shared" ca="1" si="8"/>
        <v>46174</v>
      </c>
      <c r="I317" s="17" t="str">
        <f t="shared" ca="1" si="9"/>
        <v>90+ Days</v>
      </c>
    </row>
    <row r="318" spans="1:9">
      <c r="A318">
        <v>676</v>
      </c>
      <c r="B318" t="s">
        <v>61</v>
      </c>
      <c r="C318" s="16">
        <v>45919</v>
      </c>
      <c r="D318">
        <v>8568</v>
      </c>
      <c r="F318" t="s">
        <v>1</v>
      </c>
      <c r="H318" s="17">
        <f t="shared" ca="1" si="8"/>
        <v>46174</v>
      </c>
      <c r="I318" s="17" t="str">
        <f t="shared" ca="1" si="9"/>
        <v>90+ Days</v>
      </c>
    </row>
    <row r="319" spans="1:9">
      <c r="A319">
        <v>677</v>
      </c>
      <c r="B319" t="s">
        <v>76</v>
      </c>
      <c r="C319" s="16">
        <v>45919</v>
      </c>
      <c r="D319">
        <v>10452</v>
      </c>
      <c r="F319" t="s">
        <v>1</v>
      </c>
      <c r="H319" s="17">
        <f t="shared" ca="1" si="8"/>
        <v>46174</v>
      </c>
      <c r="I319" s="17" t="str">
        <f t="shared" ca="1" si="9"/>
        <v>90+ Days</v>
      </c>
    </row>
    <row r="320" spans="1:9">
      <c r="A320">
        <v>678</v>
      </c>
      <c r="B320" t="s">
        <v>82</v>
      </c>
      <c r="C320" s="16">
        <v>45920</v>
      </c>
      <c r="D320">
        <v>3539</v>
      </c>
      <c r="F320" t="s">
        <v>1</v>
      </c>
      <c r="H320" s="17">
        <f t="shared" ca="1" si="8"/>
        <v>46174</v>
      </c>
      <c r="I320" s="17" t="str">
        <f t="shared" ca="1" si="9"/>
        <v>90+ Days</v>
      </c>
    </row>
    <row r="321" spans="1:9">
      <c r="A321">
        <v>679</v>
      </c>
      <c r="B321" t="s">
        <v>10</v>
      </c>
      <c r="C321" s="16">
        <v>45922</v>
      </c>
      <c r="D321">
        <v>19896</v>
      </c>
      <c r="F321" t="s">
        <v>1</v>
      </c>
      <c r="H321" s="17">
        <f t="shared" ca="1" si="8"/>
        <v>46174</v>
      </c>
      <c r="I321" s="17" t="str">
        <f t="shared" ca="1" si="9"/>
        <v>90+ Days</v>
      </c>
    </row>
    <row r="322" spans="1:9">
      <c r="A322">
        <v>680</v>
      </c>
      <c r="B322" t="s">
        <v>31</v>
      </c>
      <c r="C322" s="16">
        <v>45922</v>
      </c>
      <c r="D322">
        <v>10081</v>
      </c>
      <c r="F322" t="s">
        <v>1</v>
      </c>
      <c r="H322" s="17">
        <f t="shared" ref="H322:H385" ca="1" si="10">IF(F322="Closed", 0, IF(TODAY()&gt;G322, TODAY()-G322, 0))</f>
        <v>46174</v>
      </c>
      <c r="I322" s="17" t="str">
        <f t="shared" ref="I322:I385" ca="1" si="11">IF(H322=0, "Not Overdue", IF(H322&lt;=30, "1-30 Days", IF(H322&lt;=60, "31-60 Days", IF(H322&lt;=90, "61-90 Days", "90+ Days"))))</f>
        <v>90+ Days</v>
      </c>
    </row>
    <row r="323" spans="1:9">
      <c r="A323">
        <v>681</v>
      </c>
      <c r="B323" t="s">
        <v>8</v>
      </c>
      <c r="C323" s="16">
        <v>45922</v>
      </c>
      <c r="D323">
        <v>28069</v>
      </c>
      <c r="F323" t="s">
        <v>1</v>
      </c>
      <c r="H323" s="17">
        <f t="shared" ca="1" si="10"/>
        <v>46174</v>
      </c>
      <c r="I323" s="17" t="str">
        <f t="shared" ca="1" si="11"/>
        <v>90+ Days</v>
      </c>
    </row>
    <row r="324" spans="1:9">
      <c r="A324">
        <v>682</v>
      </c>
      <c r="B324" t="s">
        <v>114</v>
      </c>
      <c r="C324" s="16">
        <v>45923</v>
      </c>
      <c r="D324">
        <v>47250</v>
      </c>
      <c r="F324" t="s">
        <v>1</v>
      </c>
      <c r="H324" s="17">
        <f t="shared" ca="1" si="10"/>
        <v>46174</v>
      </c>
      <c r="I324" s="17" t="str">
        <f t="shared" ca="1" si="11"/>
        <v>90+ Days</v>
      </c>
    </row>
    <row r="325" spans="1:9">
      <c r="A325">
        <v>683</v>
      </c>
      <c r="B325" t="s">
        <v>67</v>
      </c>
      <c r="C325" s="16">
        <v>45923</v>
      </c>
      <c r="D325">
        <v>2573</v>
      </c>
      <c r="F325" t="s">
        <v>1</v>
      </c>
      <c r="H325" s="17">
        <f t="shared" ca="1" si="10"/>
        <v>46174</v>
      </c>
      <c r="I325" s="17" t="str">
        <f t="shared" ca="1" si="11"/>
        <v>90+ Days</v>
      </c>
    </row>
    <row r="326" spans="1:9">
      <c r="A326">
        <v>684</v>
      </c>
      <c r="B326" t="s">
        <v>12</v>
      </c>
      <c r="C326" s="16">
        <v>45923</v>
      </c>
      <c r="D326">
        <v>28728</v>
      </c>
      <c r="F326" t="s">
        <v>1</v>
      </c>
      <c r="H326" s="17">
        <f t="shared" ca="1" si="10"/>
        <v>46174</v>
      </c>
      <c r="I326" s="17" t="str">
        <f t="shared" ca="1" si="11"/>
        <v>90+ Days</v>
      </c>
    </row>
    <row r="327" spans="1:9">
      <c r="A327">
        <v>685</v>
      </c>
      <c r="B327" t="s">
        <v>40</v>
      </c>
      <c r="C327" s="16">
        <v>45923</v>
      </c>
      <c r="D327">
        <v>10080</v>
      </c>
      <c r="F327" t="s">
        <v>27</v>
      </c>
      <c r="H327" s="17">
        <f t="shared" ca="1" si="10"/>
        <v>0</v>
      </c>
      <c r="I327" s="17" t="str">
        <f t="shared" ca="1" si="11"/>
        <v>Not Overdue</v>
      </c>
    </row>
    <row r="328" spans="1:9">
      <c r="A328">
        <v>686</v>
      </c>
      <c r="B328" t="s">
        <v>81</v>
      </c>
      <c r="C328" s="16">
        <v>45923</v>
      </c>
      <c r="D328">
        <v>5040</v>
      </c>
      <c r="F328" t="s">
        <v>1</v>
      </c>
      <c r="H328" s="17">
        <f t="shared" ca="1" si="10"/>
        <v>46174</v>
      </c>
      <c r="I328" s="17" t="str">
        <f t="shared" ca="1" si="11"/>
        <v>90+ Days</v>
      </c>
    </row>
    <row r="329" spans="1:9">
      <c r="A329">
        <v>687</v>
      </c>
      <c r="B329" t="s">
        <v>31</v>
      </c>
      <c r="C329" s="16">
        <v>45923</v>
      </c>
      <c r="D329">
        <v>2520</v>
      </c>
      <c r="F329" t="s">
        <v>1</v>
      </c>
      <c r="H329" s="17">
        <f t="shared" ca="1" si="10"/>
        <v>46174</v>
      </c>
      <c r="I329" s="17" t="str">
        <f t="shared" ca="1" si="11"/>
        <v>90+ Days</v>
      </c>
    </row>
    <row r="330" spans="1:9">
      <c r="A330">
        <v>688</v>
      </c>
      <c r="B330" t="s">
        <v>10</v>
      </c>
      <c r="C330" s="16">
        <v>45923</v>
      </c>
      <c r="D330">
        <v>5985</v>
      </c>
      <c r="F330" t="s">
        <v>1</v>
      </c>
      <c r="H330" s="17">
        <f t="shared" ca="1" si="10"/>
        <v>46174</v>
      </c>
      <c r="I330" s="17" t="str">
        <f t="shared" ca="1" si="11"/>
        <v>90+ Days</v>
      </c>
    </row>
    <row r="331" spans="1:9">
      <c r="A331">
        <v>689</v>
      </c>
      <c r="B331" t="s">
        <v>76</v>
      </c>
      <c r="C331" s="16">
        <v>45923</v>
      </c>
      <c r="D331">
        <v>10080</v>
      </c>
      <c r="F331" t="s">
        <v>1</v>
      </c>
      <c r="H331" s="17">
        <f t="shared" ca="1" si="10"/>
        <v>46174</v>
      </c>
      <c r="I331" s="17" t="str">
        <f t="shared" ca="1" si="11"/>
        <v>90+ Days</v>
      </c>
    </row>
    <row r="332" spans="1:9">
      <c r="A332">
        <v>690</v>
      </c>
      <c r="B332" t="s">
        <v>71</v>
      </c>
      <c r="C332" s="16">
        <v>45923</v>
      </c>
      <c r="D332">
        <v>12600</v>
      </c>
      <c r="F332" t="s">
        <v>1</v>
      </c>
      <c r="H332" s="17">
        <f t="shared" ca="1" si="10"/>
        <v>46174</v>
      </c>
      <c r="I332" s="17" t="str">
        <f t="shared" ca="1" si="11"/>
        <v>90+ Days</v>
      </c>
    </row>
    <row r="333" spans="1:9">
      <c r="A333">
        <v>691</v>
      </c>
      <c r="B333" t="s">
        <v>9</v>
      </c>
      <c r="C333" s="16">
        <v>45923</v>
      </c>
      <c r="D333">
        <v>9870</v>
      </c>
      <c r="F333" t="s">
        <v>1</v>
      </c>
      <c r="H333" s="17">
        <f t="shared" ca="1" si="10"/>
        <v>46174</v>
      </c>
      <c r="I333" s="17" t="str">
        <f t="shared" ca="1" si="11"/>
        <v>90+ Days</v>
      </c>
    </row>
    <row r="334" spans="1:9">
      <c r="A334">
        <v>692</v>
      </c>
      <c r="B334" t="s">
        <v>9</v>
      </c>
      <c r="C334" s="16">
        <v>45923</v>
      </c>
      <c r="D334">
        <v>16380</v>
      </c>
      <c r="F334" t="s">
        <v>1</v>
      </c>
      <c r="H334" s="17">
        <f t="shared" ca="1" si="10"/>
        <v>46174</v>
      </c>
      <c r="I334" s="17" t="str">
        <f t="shared" ca="1" si="11"/>
        <v>90+ Days</v>
      </c>
    </row>
    <row r="335" spans="1:9">
      <c r="A335">
        <v>693</v>
      </c>
      <c r="B335" t="s">
        <v>74</v>
      </c>
      <c r="C335" s="16">
        <v>45923</v>
      </c>
      <c r="D335">
        <v>13650</v>
      </c>
      <c r="F335" t="s">
        <v>1</v>
      </c>
      <c r="H335" s="17">
        <f t="shared" ca="1" si="10"/>
        <v>46174</v>
      </c>
      <c r="I335" s="17" t="str">
        <f t="shared" ca="1" si="11"/>
        <v>90+ Days</v>
      </c>
    </row>
    <row r="336" spans="1:9">
      <c r="A336">
        <v>694</v>
      </c>
      <c r="B336" t="s">
        <v>103</v>
      </c>
      <c r="C336" s="16">
        <v>45924</v>
      </c>
      <c r="D336">
        <v>4841</v>
      </c>
      <c r="F336" t="s">
        <v>1</v>
      </c>
      <c r="G336" s="16">
        <v>45954</v>
      </c>
      <c r="H336" s="17">
        <f t="shared" ca="1" si="10"/>
        <v>220</v>
      </c>
      <c r="I336" s="17" t="str">
        <f t="shared" ca="1" si="11"/>
        <v>90+ Days</v>
      </c>
    </row>
    <row r="337" spans="1:9">
      <c r="A337">
        <v>695</v>
      </c>
      <c r="B337" t="s">
        <v>118</v>
      </c>
      <c r="C337" s="16">
        <v>45924</v>
      </c>
      <c r="D337">
        <v>9870</v>
      </c>
      <c r="F337" t="s">
        <v>1</v>
      </c>
      <c r="G337" s="16">
        <v>45954</v>
      </c>
      <c r="H337" s="17">
        <f t="shared" ca="1" si="10"/>
        <v>220</v>
      </c>
      <c r="I337" s="17" t="str">
        <f t="shared" ca="1" si="11"/>
        <v>90+ Days</v>
      </c>
    </row>
    <row r="338" spans="1:9">
      <c r="A338">
        <v>696</v>
      </c>
      <c r="B338" t="s">
        <v>59</v>
      </c>
      <c r="C338" s="16">
        <v>45924</v>
      </c>
      <c r="D338">
        <v>14482</v>
      </c>
      <c r="F338" t="s">
        <v>1</v>
      </c>
      <c r="H338" s="17">
        <f t="shared" ca="1" si="10"/>
        <v>46174</v>
      </c>
      <c r="I338" s="17" t="str">
        <f t="shared" ca="1" si="11"/>
        <v>90+ Days</v>
      </c>
    </row>
    <row r="339" spans="1:9">
      <c r="A339">
        <v>697</v>
      </c>
      <c r="B339" t="s">
        <v>47</v>
      </c>
      <c r="C339" s="16">
        <v>45924</v>
      </c>
      <c r="D339">
        <v>3745</v>
      </c>
      <c r="F339" t="s">
        <v>1</v>
      </c>
      <c r="H339" s="17">
        <f t="shared" ca="1" si="10"/>
        <v>46174</v>
      </c>
      <c r="I339" s="17" t="str">
        <f t="shared" ca="1" si="11"/>
        <v>90+ Days</v>
      </c>
    </row>
    <row r="340" spans="1:9">
      <c r="A340">
        <v>698</v>
      </c>
      <c r="B340" t="s">
        <v>11</v>
      </c>
      <c r="C340" s="16">
        <v>45925</v>
      </c>
      <c r="D340">
        <v>19177</v>
      </c>
      <c r="F340" t="s">
        <v>1</v>
      </c>
      <c r="H340" s="17">
        <f t="shared" ca="1" si="10"/>
        <v>46174</v>
      </c>
      <c r="I340" s="17" t="str">
        <f t="shared" ca="1" si="11"/>
        <v>90+ Days</v>
      </c>
    </row>
    <row r="341" spans="1:9">
      <c r="A341">
        <v>699</v>
      </c>
      <c r="B341" t="s">
        <v>28</v>
      </c>
      <c r="C341" s="16">
        <v>45925</v>
      </c>
      <c r="D341">
        <v>9733</v>
      </c>
      <c r="F341" t="s">
        <v>1</v>
      </c>
      <c r="H341" s="17">
        <f t="shared" ca="1" si="10"/>
        <v>46174</v>
      </c>
      <c r="I341" s="17" t="str">
        <f t="shared" ca="1" si="11"/>
        <v>90+ Days</v>
      </c>
    </row>
    <row r="342" spans="1:9">
      <c r="A342">
        <v>700</v>
      </c>
      <c r="B342" t="s">
        <v>7</v>
      </c>
      <c r="C342" s="16">
        <v>45926</v>
      </c>
      <c r="D342">
        <v>3540</v>
      </c>
      <c r="F342" t="s">
        <v>1</v>
      </c>
      <c r="H342" s="17">
        <f t="shared" ca="1" si="10"/>
        <v>46174</v>
      </c>
      <c r="I342" s="17" t="str">
        <f t="shared" ca="1" si="11"/>
        <v>90+ Days</v>
      </c>
    </row>
    <row r="343" spans="1:9">
      <c r="A343">
        <v>701</v>
      </c>
      <c r="B343" t="s">
        <v>33</v>
      </c>
      <c r="C343" s="16">
        <v>45927</v>
      </c>
      <c r="D343">
        <v>19554</v>
      </c>
      <c r="F343" t="s">
        <v>1</v>
      </c>
      <c r="H343" s="17">
        <f t="shared" ca="1" si="10"/>
        <v>46174</v>
      </c>
      <c r="I343" s="17" t="str">
        <f t="shared" ca="1" si="11"/>
        <v>90+ Days</v>
      </c>
    </row>
    <row r="344" spans="1:9">
      <c r="A344">
        <v>702</v>
      </c>
      <c r="B344" t="s">
        <v>79</v>
      </c>
      <c r="C344" s="16">
        <v>45927</v>
      </c>
      <c r="D344">
        <v>8877</v>
      </c>
      <c r="F344" t="s">
        <v>27</v>
      </c>
      <c r="H344" s="17">
        <f t="shared" ca="1" si="10"/>
        <v>0</v>
      </c>
      <c r="I344" s="17" t="str">
        <f t="shared" ca="1" si="11"/>
        <v>Not Overdue</v>
      </c>
    </row>
    <row r="345" spans="1:9">
      <c r="A345">
        <v>703</v>
      </c>
      <c r="B345" t="s">
        <v>91</v>
      </c>
      <c r="C345" s="16">
        <v>45927</v>
      </c>
      <c r="D345">
        <v>9870</v>
      </c>
      <c r="F345" t="s">
        <v>27</v>
      </c>
      <c r="H345" s="17">
        <f t="shared" ca="1" si="10"/>
        <v>0</v>
      </c>
      <c r="I345" s="17" t="str">
        <f t="shared" ca="1" si="11"/>
        <v>Not Overdue</v>
      </c>
    </row>
    <row r="346" spans="1:9">
      <c r="A346">
        <v>704</v>
      </c>
      <c r="B346" t="s">
        <v>15</v>
      </c>
      <c r="C346" s="16">
        <v>45929</v>
      </c>
      <c r="D346">
        <v>13310</v>
      </c>
      <c r="F346" t="s">
        <v>1</v>
      </c>
      <c r="H346" s="17">
        <f t="shared" ca="1" si="10"/>
        <v>46174</v>
      </c>
      <c r="I346" s="17" t="str">
        <f t="shared" ca="1" si="11"/>
        <v>90+ Days</v>
      </c>
    </row>
    <row r="347" spans="1:9">
      <c r="A347">
        <v>705</v>
      </c>
      <c r="B347" t="s">
        <v>98</v>
      </c>
      <c r="C347" s="16">
        <v>45929</v>
      </c>
      <c r="D347">
        <v>5277</v>
      </c>
      <c r="F347" t="s">
        <v>27</v>
      </c>
      <c r="H347" s="17">
        <f t="shared" ca="1" si="10"/>
        <v>0</v>
      </c>
      <c r="I347" s="17" t="str">
        <f t="shared" ca="1" si="11"/>
        <v>Not Overdue</v>
      </c>
    </row>
    <row r="348" spans="1:9">
      <c r="A348">
        <v>706</v>
      </c>
      <c r="B348" t="s">
        <v>98</v>
      </c>
      <c r="C348" s="16">
        <v>45929</v>
      </c>
      <c r="D348">
        <v>20160</v>
      </c>
      <c r="F348" t="s">
        <v>27</v>
      </c>
      <c r="H348" s="17">
        <f t="shared" ca="1" si="10"/>
        <v>0</v>
      </c>
      <c r="I348" s="17" t="str">
        <f t="shared" ca="1" si="11"/>
        <v>Not Overdue</v>
      </c>
    </row>
    <row r="349" spans="1:9">
      <c r="A349">
        <v>707</v>
      </c>
      <c r="B349" t="s">
        <v>87</v>
      </c>
      <c r="C349" s="16">
        <v>45929</v>
      </c>
      <c r="D349">
        <v>10080</v>
      </c>
      <c r="F349" t="s">
        <v>1</v>
      </c>
      <c r="H349" s="17">
        <f t="shared" ca="1" si="10"/>
        <v>46174</v>
      </c>
      <c r="I349" s="17" t="str">
        <f t="shared" ca="1" si="11"/>
        <v>90+ Days</v>
      </c>
    </row>
    <row r="350" spans="1:9">
      <c r="A350">
        <v>708</v>
      </c>
      <c r="B350" t="s">
        <v>87</v>
      </c>
      <c r="C350" s="16">
        <v>45929</v>
      </c>
      <c r="D350">
        <v>5113</v>
      </c>
      <c r="F350" t="s">
        <v>1</v>
      </c>
      <c r="H350" s="17">
        <f t="shared" ca="1" si="10"/>
        <v>46174</v>
      </c>
      <c r="I350" s="17" t="str">
        <f t="shared" ca="1" si="11"/>
        <v>90+ Days</v>
      </c>
    </row>
    <row r="351" spans="1:9">
      <c r="A351">
        <v>709</v>
      </c>
      <c r="B351" t="s">
        <v>16</v>
      </c>
      <c r="C351" s="16">
        <v>45930</v>
      </c>
      <c r="D351">
        <v>5269</v>
      </c>
      <c r="F351" t="s">
        <v>1</v>
      </c>
      <c r="G351" s="16">
        <v>45937</v>
      </c>
      <c r="H351" s="17">
        <f t="shared" ca="1" si="10"/>
        <v>237</v>
      </c>
      <c r="I351" s="17" t="str">
        <f t="shared" ca="1" si="11"/>
        <v>90+ Days</v>
      </c>
    </row>
    <row r="352" spans="1:9">
      <c r="A352">
        <v>710</v>
      </c>
      <c r="B352" t="s">
        <v>29</v>
      </c>
      <c r="C352" s="16">
        <v>45930</v>
      </c>
      <c r="D352">
        <v>7518</v>
      </c>
      <c r="F352" t="s">
        <v>1</v>
      </c>
      <c r="H352" s="17">
        <f t="shared" ca="1" si="10"/>
        <v>46174</v>
      </c>
      <c r="I352" s="17" t="str">
        <f t="shared" ca="1" si="11"/>
        <v>90+ Days</v>
      </c>
    </row>
    <row r="353" spans="1:9">
      <c r="A353">
        <v>711</v>
      </c>
      <c r="B353" t="s">
        <v>88</v>
      </c>
      <c r="C353" s="16">
        <v>45930</v>
      </c>
      <c r="D353">
        <v>5082</v>
      </c>
      <c r="F353" t="s">
        <v>1</v>
      </c>
      <c r="H353" s="17">
        <f t="shared" ca="1" si="10"/>
        <v>46174</v>
      </c>
      <c r="I353" s="17" t="str">
        <f t="shared" ca="1" si="11"/>
        <v>90+ Days</v>
      </c>
    </row>
    <row r="354" spans="1:9">
      <c r="A354">
        <v>712</v>
      </c>
      <c r="B354" t="s">
        <v>88</v>
      </c>
      <c r="C354" s="16">
        <v>45930</v>
      </c>
      <c r="D354">
        <v>1365</v>
      </c>
      <c r="F354" t="s">
        <v>1</v>
      </c>
      <c r="H354" s="17">
        <f t="shared" ca="1" si="10"/>
        <v>46174</v>
      </c>
      <c r="I354" s="17" t="str">
        <f t="shared" ca="1" si="11"/>
        <v>90+ Days</v>
      </c>
    </row>
    <row r="355" spans="1:9">
      <c r="A355">
        <v>713</v>
      </c>
      <c r="B355" t="s">
        <v>47</v>
      </c>
      <c r="C355" s="16">
        <v>45930</v>
      </c>
      <c r="D355">
        <v>8064</v>
      </c>
      <c r="F355" t="s">
        <v>1</v>
      </c>
      <c r="H355" s="17">
        <f t="shared" ca="1" si="10"/>
        <v>46174</v>
      </c>
      <c r="I355" s="17" t="str">
        <f t="shared" ca="1" si="11"/>
        <v>90+ Days</v>
      </c>
    </row>
    <row r="356" spans="1:9">
      <c r="A356">
        <v>714</v>
      </c>
      <c r="B356" t="s">
        <v>85</v>
      </c>
      <c r="C356" s="16">
        <v>45930</v>
      </c>
      <c r="D356">
        <v>19530</v>
      </c>
      <c r="F356" t="s">
        <v>1</v>
      </c>
      <c r="H356" s="17">
        <f t="shared" ca="1" si="10"/>
        <v>46174</v>
      </c>
      <c r="I356" s="17" t="str">
        <f t="shared" ca="1" si="11"/>
        <v>90+ Days</v>
      </c>
    </row>
    <row r="357" spans="1:9">
      <c r="A357">
        <v>715</v>
      </c>
      <c r="B357" t="s">
        <v>39</v>
      </c>
      <c r="C357" s="16">
        <v>45931</v>
      </c>
      <c r="D357">
        <v>12600</v>
      </c>
      <c r="F357" t="s">
        <v>1</v>
      </c>
      <c r="H357" s="17">
        <f t="shared" ca="1" si="10"/>
        <v>46174</v>
      </c>
      <c r="I357" s="17" t="str">
        <f t="shared" ca="1" si="11"/>
        <v>90+ Days</v>
      </c>
    </row>
    <row r="358" spans="1:9">
      <c r="A358">
        <v>716</v>
      </c>
      <c r="B358" t="s">
        <v>53</v>
      </c>
      <c r="C358" s="16">
        <v>45931</v>
      </c>
      <c r="D358">
        <v>9765</v>
      </c>
      <c r="F358" t="s">
        <v>1</v>
      </c>
      <c r="H358" s="17">
        <f t="shared" ca="1" si="10"/>
        <v>46174</v>
      </c>
      <c r="I358" s="17" t="str">
        <f t="shared" ca="1" si="11"/>
        <v>90+ Days</v>
      </c>
    </row>
    <row r="359" spans="1:9">
      <c r="A359">
        <v>717</v>
      </c>
      <c r="B359" t="s">
        <v>119</v>
      </c>
      <c r="C359" s="16">
        <v>45931</v>
      </c>
      <c r="D359">
        <v>9756</v>
      </c>
      <c r="F359" t="s">
        <v>27</v>
      </c>
      <c r="H359" s="17">
        <f t="shared" ca="1" si="10"/>
        <v>0</v>
      </c>
      <c r="I359" s="17" t="str">
        <f t="shared" ca="1" si="11"/>
        <v>Not Overdue</v>
      </c>
    </row>
    <row r="360" spans="1:9">
      <c r="A360">
        <v>718</v>
      </c>
      <c r="B360" t="s">
        <v>73</v>
      </c>
      <c r="C360" s="16">
        <v>45931</v>
      </c>
      <c r="D360">
        <v>4614</v>
      </c>
      <c r="F360" t="s">
        <v>1</v>
      </c>
      <c r="H360" s="17">
        <f t="shared" ca="1" si="10"/>
        <v>46174</v>
      </c>
      <c r="I360" s="17" t="str">
        <f t="shared" ca="1" si="11"/>
        <v>90+ Days</v>
      </c>
    </row>
    <row r="361" spans="1:9">
      <c r="A361">
        <v>719</v>
      </c>
      <c r="B361" t="s">
        <v>66</v>
      </c>
      <c r="C361" s="16">
        <v>45933</v>
      </c>
      <c r="D361">
        <v>4873</v>
      </c>
      <c r="F361" t="s">
        <v>1</v>
      </c>
      <c r="H361" s="17">
        <f t="shared" ca="1" si="10"/>
        <v>46174</v>
      </c>
      <c r="I361" s="17" t="str">
        <f t="shared" ca="1" si="11"/>
        <v>90+ Days</v>
      </c>
    </row>
    <row r="362" spans="1:9">
      <c r="A362">
        <v>720</v>
      </c>
      <c r="B362" t="s">
        <v>78</v>
      </c>
      <c r="C362" s="16">
        <v>45933</v>
      </c>
      <c r="D362">
        <v>19980</v>
      </c>
      <c r="F362" t="s">
        <v>1</v>
      </c>
      <c r="H362" s="17">
        <f t="shared" ca="1" si="10"/>
        <v>46174</v>
      </c>
      <c r="I362" s="17" t="str">
        <f t="shared" ca="1" si="11"/>
        <v>90+ Days</v>
      </c>
    </row>
    <row r="363" spans="1:9">
      <c r="A363">
        <v>721</v>
      </c>
      <c r="B363" t="s">
        <v>11</v>
      </c>
      <c r="C363" s="16">
        <v>45933</v>
      </c>
      <c r="D363">
        <v>19300</v>
      </c>
      <c r="F363" t="s">
        <v>1</v>
      </c>
      <c r="H363" s="17">
        <f t="shared" ca="1" si="10"/>
        <v>46174</v>
      </c>
      <c r="I363" s="17" t="str">
        <f t="shared" ca="1" si="11"/>
        <v>90+ Days</v>
      </c>
    </row>
    <row r="364" spans="1:9">
      <c r="A364">
        <v>722</v>
      </c>
      <c r="B364" t="s">
        <v>110</v>
      </c>
      <c r="C364" s="16">
        <v>45933</v>
      </c>
      <c r="D364">
        <v>3024</v>
      </c>
      <c r="F364" t="s">
        <v>1</v>
      </c>
      <c r="H364" s="17">
        <f t="shared" ca="1" si="10"/>
        <v>46174</v>
      </c>
      <c r="I364" s="17" t="str">
        <f t="shared" ca="1" si="11"/>
        <v>90+ Days</v>
      </c>
    </row>
    <row r="365" spans="1:9">
      <c r="A365">
        <v>723</v>
      </c>
      <c r="B365" t="s">
        <v>92</v>
      </c>
      <c r="C365" s="16">
        <v>45933</v>
      </c>
      <c r="D365">
        <v>14113</v>
      </c>
      <c r="F365" t="s">
        <v>1</v>
      </c>
      <c r="H365" s="17">
        <f t="shared" ca="1" si="10"/>
        <v>46174</v>
      </c>
      <c r="I365" s="17" t="str">
        <f t="shared" ca="1" si="11"/>
        <v>90+ Days</v>
      </c>
    </row>
    <row r="366" spans="1:9">
      <c r="A366">
        <v>724</v>
      </c>
      <c r="B366" t="s">
        <v>120</v>
      </c>
      <c r="C366" s="16">
        <v>45933</v>
      </c>
      <c r="D366">
        <v>77364</v>
      </c>
      <c r="F366" t="s">
        <v>27</v>
      </c>
      <c r="H366" s="17">
        <f t="shared" ca="1" si="10"/>
        <v>0</v>
      </c>
      <c r="I366" s="17" t="str">
        <f t="shared" ca="1" si="11"/>
        <v>Not Overdue</v>
      </c>
    </row>
    <row r="367" spans="1:9">
      <c r="A367">
        <v>725</v>
      </c>
      <c r="B367" t="s">
        <v>9</v>
      </c>
      <c r="C367" s="16">
        <v>45935</v>
      </c>
      <c r="D367">
        <v>9870</v>
      </c>
      <c r="F367" t="s">
        <v>1</v>
      </c>
      <c r="H367" s="17">
        <f t="shared" ca="1" si="10"/>
        <v>46174</v>
      </c>
      <c r="I367" s="17" t="str">
        <f t="shared" ca="1" si="11"/>
        <v>90+ Days</v>
      </c>
    </row>
    <row r="368" spans="1:9">
      <c r="A368">
        <v>726</v>
      </c>
      <c r="B368" t="s">
        <v>9</v>
      </c>
      <c r="C368" s="16">
        <v>45935</v>
      </c>
      <c r="D368">
        <v>27300</v>
      </c>
      <c r="F368" t="s">
        <v>1</v>
      </c>
      <c r="H368" s="17">
        <f t="shared" ca="1" si="10"/>
        <v>46174</v>
      </c>
      <c r="I368" s="17" t="str">
        <f t="shared" ca="1" si="11"/>
        <v>90+ Days</v>
      </c>
    </row>
    <row r="369" spans="1:9">
      <c r="A369">
        <v>727</v>
      </c>
      <c r="B369" t="s">
        <v>104</v>
      </c>
      <c r="C369" s="16">
        <v>45935</v>
      </c>
      <c r="D369">
        <v>1226</v>
      </c>
      <c r="F369" t="s">
        <v>27</v>
      </c>
      <c r="H369" s="17">
        <f t="shared" ca="1" si="10"/>
        <v>0</v>
      </c>
      <c r="I369" s="17" t="str">
        <f t="shared" ca="1" si="11"/>
        <v>Not Overdue</v>
      </c>
    </row>
    <row r="370" spans="1:9">
      <c r="A370">
        <v>728</v>
      </c>
      <c r="B370" t="s">
        <v>54</v>
      </c>
      <c r="C370" s="16">
        <v>45936</v>
      </c>
      <c r="D370">
        <v>3474</v>
      </c>
      <c r="F370" t="s">
        <v>1</v>
      </c>
      <c r="H370" s="17">
        <f t="shared" ca="1" si="10"/>
        <v>46174</v>
      </c>
      <c r="I370" s="17" t="str">
        <f t="shared" ca="1" si="11"/>
        <v>90+ Days</v>
      </c>
    </row>
    <row r="371" spans="1:9">
      <c r="A371">
        <v>729</v>
      </c>
      <c r="B371" t="s">
        <v>25</v>
      </c>
      <c r="C371" s="16">
        <v>45936</v>
      </c>
      <c r="D371">
        <v>19320</v>
      </c>
      <c r="F371" t="s">
        <v>1</v>
      </c>
      <c r="H371" s="17">
        <f t="shared" ca="1" si="10"/>
        <v>46174</v>
      </c>
      <c r="I371" s="17" t="str">
        <f t="shared" ca="1" si="11"/>
        <v>90+ Days</v>
      </c>
    </row>
    <row r="372" spans="1:9">
      <c r="A372">
        <v>730</v>
      </c>
      <c r="B372" t="s">
        <v>14</v>
      </c>
      <c r="C372" s="16">
        <v>45936</v>
      </c>
      <c r="D372">
        <v>20160</v>
      </c>
      <c r="F372" t="s">
        <v>1</v>
      </c>
      <c r="H372" s="17">
        <f t="shared" ca="1" si="10"/>
        <v>46174</v>
      </c>
      <c r="I372" s="17" t="str">
        <f t="shared" ca="1" si="11"/>
        <v>90+ Days</v>
      </c>
    </row>
    <row r="373" spans="1:9">
      <c r="A373">
        <v>731</v>
      </c>
      <c r="B373" t="s">
        <v>14</v>
      </c>
      <c r="C373" s="16">
        <v>45936</v>
      </c>
      <c r="D373">
        <v>13841</v>
      </c>
      <c r="F373" t="s">
        <v>1</v>
      </c>
      <c r="H373" s="17">
        <f t="shared" ca="1" si="10"/>
        <v>46174</v>
      </c>
      <c r="I373" s="17" t="str">
        <f t="shared" ca="1" si="11"/>
        <v>90+ Days</v>
      </c>
    </row>
    <row r="374" spans="1:9">
      <c r="A374">
        <v>732</v>
      </c>
      <c r="B374" t="s">
        <v>81</v>
      </c>
      <c r="C374" s="16">
        <v>45936</v>
      </c>
      <c r="D374">
        <v>3927</v>
      </c>
      <c r="F374" t="s">
        <v>1</v>
      </c>
      <c r="H374" s="17">
        <f t="shared" ca="1" si="10"/>
        <v>46174</v>
      </c>
      <c r="I374" s="17" t="str">
        <f t="shared" ca="1" si="11"/>
        <v>90+ Days</v>
      </c>
    </row>
    <row r="375" spans="1:9">
      <c r="A375">
        <v>733</v>
      </c>
      <c r="B375" t="s">
        <v>81</v>
      </c>
      <c r="C375" s="16">
        <v>45936</v>
      </c>
      <c r="D375">
        <v>12600</v>
      </c>
      <c r="F375" t="s">
        <v>1</v>
      </c>
      <c r="H375" s="17">
        <f t="shared" ca="1" si="10"/>
        <v>46174</v>
      </c>
      <c r="I375" s="17" t="str">
        <f t="shared" ca="1" si="11"/>
        <v>90+ Days</v>
      </c>
    </row>
    <row r="376" spans="1:9">
      <c r="A376">
        <v>734</v>
      </c>
      <c r="B376" t="s">
        <v>62</v>
      </c>
      <c r="C376" s="16">
        <v>45937</v>
      </c>
      <c r="D376">
        <v>7790</v>
      </c>
      <c r="F376" t="s">
        <v>27</v>
      </c>
      <c r="H376" s="17">
        <f t="shared" ca="1" si="10"/>
        <v>0</v>
      </c>
      <c r="I376" s="17" t="str">
        <f t="shared" ca="1" si="11"/>
        <v>Not Overdue</v>
      </c>
    </row>
    <row r="377" spans="1:9">
      <c r="A377">
        <v>735</v>
      </c>
      <c r="B377" t="s">
        <v>7</v>
      </c>
      <c r="C377" s="16">
        <v>45937</v>
      </c>
      <c r="D377">
        <v>28875</v>
      </c>
      <c r="F377" t="s">
        <v>1</v>
      </c>
      <c r="H377" s="17">
        <f t="shared" ca="1" si="10"/>
        <v>46174</v>
      </c>
      <c r="I377" s="17" t="str">
        <f t="shared" ca="1" si="11"/>
        <v>90+ Days</v>
      </c>
    </row>
    <row r="378" spans="1:9">
      <c r="A378">
        <v>736</v>
      </c>
      <c r="B378" t="s">
        <v>15</v>
      </c>
      <c r="C378" s="16">
        <v>45938</v>
      </c>
      <c r="D378">
        <v>2266</v>
      </c>
      <c r="F378" t="s">
        <v>1</v>
      </c>
      <c r="H378" s="17">
        <f t="shared" ca="1" si="10"/>
        <v>46174</v>
      </c>
      <c r="I378" s="17" t="str">
        <f t="shared" ca="1" si="11"/>
        <v>90+ Days</v>
      </c>
    </row>
    <row r="379" spans="1:9">
      <c r="A379">
        <v>737</v>
      </c>
      <c r="B379" t="s">
        <v>15</v>
      </c>
      <c r="C379" s="16">
        <v>45938</v>
      </c>
      <c r="D379">
        <v>17747</v>
      </c>
      <c r="F379" t="s">
        <v>1</v>
      </c>
      <c r="H379" s="17">
        <f t="shared" ca="1" si="10"/>
        <v>46174</v>
      </c>
      <c r="I379" s="17" t="str">
        <f t="shared" ca="1" si="11"/>
        <v>90+ Days</v>
      </c>
    </row>
    <row r="380" spans="1:9">
      <c r="A380">
        <v>738</v>
      </c>
      <c r="B380" t="s">
        <v>15</v>
      </c>
      <c r="C380" s="16">
        <v>45938</v>
      </c>
      <c r="D380">
        <v>10080</v>
      </c>
      <c r="F380" t="s">
        <v>1</v>
      </c>
      <c r="H380" s="17">
        <f t="shared" ca="1" si="10"/>
        <v>46174</v>
      </c>
      <c r="I380" s="17" t="str">
        <f t="shared" ca="1" si="11"/>
        <v>90+ Days</v>
      </c>
    </row>
    <row r="381" spans="1:9">
      <c r="A381">
        <v>739</v>
      </c>
      <c r="B381" t="s">
        <v>31</v>
      </c>
      <c r="C381" s="16">
        <v>45938</v>
      </c>
      <c r="D381">
        <v>11072</v>
      </c>
      <c r="F381" t="s">
        <v>1</v>
      </c>
      <c r="H381" s="17">
        <f t="shared" ca="1" si="10"/>
        <v>46174</v>
      </c>
      <c r="I381" s="17" t="str">
        <f t="shared" ca="1" si="11"/>
        <v>90+ Days</v>
      </c>
    </row>
    <row r="382" spans="1:9">
      <c r="A382">
        <v>740</v>
      </c>
      <c r="B382" t="s">
        <v>84</v>
      </c>
      <c r="C382" s="16">
        <v>45938</v>
      </c>
      <c r="D382">
        <v>11343</v>
      </c>
      <c r="F382" t="s">
        <v>1</v>
      </c>
      <c r="H382" s="17">
        <f t="shared" ca="1" si="10"/>
        <v>46174</v>
      </c>
      <c r="I382" s="17" t="str">
        <f t="shared" ca="1" si="11"/>
        <v>90+ Days</v>
      </c>
    </row>
    <row r="383" spans="1:9">
      <c r="A383">
        <v>741</v>
      </c>
      <c r="B383" t="s">
        <v>97</v>
      </c>
      <c r="C383" s="16">
        <v>45939</v>
      </c>
      <c r="D383">
        <v>12206</v>
      </c>
      <c r="F383" t="s">
        <v>1</v>
      </c>
      <c r="H383" s="17">
        <f t="shared" ca="1" si="10"/>
        <v>46174</v>
      </c>
      <c r="I383" s="17" t="str">
        <f t="shared" ca="1" si="11"/>
        <v>90+ Days</v>
      </c>
    </row>
    <row r="384" spans="1:9">
      <c r="A384">
        <v>742</v>
      </c>
      <c r="B384" t="s">
        <v>12</v>
      </c>
      <c r="C384" s="16">
        <v>45939</v>
      </c>
      <c r="D384">
        <v>36708</v>
      </c>
      <c r="F384" t="s">
        <v>1</v>
      </c>
      <c r="H384" s="17">
        <f t="shared" ca="1" si="10"/>
        <v>46174</v>
      </c>
      <c r="I384" s="17" t="str">
        <f t="shared" ca="1" si="11"/>
        <v>90+ Days</v>
      </c>
    </row>
    <row r="385" spans="1:9">
      <c r="A385">
        <v>743</v>
      </c>
      <c r="B385" t="s">
        <v>16</v>
      </c>
      <c r="C385" s="16">
        <v>45940</v>
      </c>
      <c r="D385">
        <v>10290</v>
      </c>
      <c r="F385" t="s">
        <v>1</v>
      </c>
      <c r="H385" s="17">
        <f t="shared" ca="1" si="10"/>
        <v>46174</v>
      </c>
      <c r="I385" s="17" t="str">
        <f t="shared" ca="1" si="11"/>
        <v>90+ Days</v>
      </c>
    </row>
    <row r="386" spans="1:9">
      <c r="A386">
        <v>744</v>
      </c>
      <c r="B386" t="s">
        <v>16</v>
      </c>
      <c r="C386" s="16">
        <v>45940</v>
      </c>
      <c r="D386">
        <v>3650</v>
      </c>
      <c r="F386" t="s">
        <v>1</v>
      </c>
      <c r="H386" s="17">
        <f t="shared" ref="H386:H449" ca="1" si="12">IF(F386="Closed", 0, IF(TODAY()&gt;G386, TODAY()-G386, 0))</f>
        <v>46174</v>
      </c>
      <c r="I386" s="17" t="str">
        <f t="shared" ref="I386:I449" ca="1" si="13">IF(H386=0, "Not Overdue", IF(H386&lt;=30, "1-30 Days", IF(H386&lt;=60, "31-60 Days", IF(H386&lt;=90, "61-90 Days", "90+ Days"))))</f>
        <v>90+ Days</v>
      </c>
    </row>
    <row r="387" spans="1:9">
      <c r="A387">
        <v>745</v>
      </c>
      <c r="B387" t="s">
        <v>69</v>
      </c>
      <c r="C387" s="16">
        <v>45940</v>
      </c>
      <c r="D387">
        <v>4016</v>
      </c>
      <c r="F387" t="s">
        <v>1</v>
      </c>
      <c r="H387" s="17">
        <f t="shared" ca="1" si="12"/>
        <v>46174</v>
      </c>
      <c r="I387" s="17" t="str">
        <f t="shared" ca="1" si="13"/>
        <v>90+ Days</v>
      </c>
    </row>
    <row r="388" spans="1:9">
      <c r="A388">
        <v>746</v>
      </c>
      <c r="B388" t="s">
        <v>88</v>
      </c>
      <c r="C388" s="16">
        <v>45940</v>
      </c>
      <c r="D388">
        <v>3696</v>
      </c>
      <c r="F388" t="s">
        <v>1</v>
      </c>
      <c r="H388" s="17">
        <f t="shared" ca="1" si="12"/>
        <v>46174</v>
      </c>
      <c r="I388" s="17" t="str">
        <f t="shared" ca="1" si="13"/>
        <v>90+ Days</v>
      </c>
    </row>
    <row r="389" spans="1:9">
      <c r="A389">
        <v>747</v>
      </c>
      <c r="B389" t="s">
        <v>88</v>
      </c>
      <c r="C389" s="16">
        <v>45940</v>
      </c>
      <c r="D389">
        <v>15750</v>
      </c>
      <c r="F389" t="s">
        <v>1</v>
      </c>
      <c r="H389" s="17">
        <f t="shared" ca="1" si="12"/>
        <v>46174</v>
      </c>
      <c r="I389" s="17" t="str">
        <f t="shared" ca="1" si="13"/>
        <v>90+ Days</v>
      </c>
    </row>
    <row r="390" spans="1:9">
      <c r="A390">
        <v>748</v>
      </c>
      <c r="B390" t="s">
        <v>39</v>
      </c>
      <c r="C390" s="16">
        <v>45940</v>
      </c>
      <c r="D390">
        <v>18266</v>
      </c>
      <c r="F390" t="s">
        <v>1</v>
      </c>
      <c r="H390" s="17">
        <f t="shared" ca="1" si="12"/>
        <v>46174</v>
      </c>
      <c r="I390" s="17" t="str">
        <f t="shared" ca="1" si="13"/>
        <v>90+ Days</v>
      </c>
    </row>
    <row r="391" spans="1:9">
      <c r="A391">
        <v>749</v>
      </c>
      <c r="B391" t="s">
        <v>9</v>
      </c>
      <c r="C391" s="16">
        <v>45940</v>
      </c>
      <c r="D391">
        <v>5251</v>
      </c>
      <c r="F391" t="s">
        <v>1</v>
      </c>
      <c r="H391" s="17">
        <f t="shared" ca="1" si="12"/>
        <v>46174</v>
      </c>
      <c r="I391" s="17" t="str">
        <f t="shared" ca="1" si="13"/>
        <v>90+ Days</v>
      </c>
    </row>
    <row r="392" spans="1:9">
      <c r="A392">
        <v>750</v>
      </c>
      <c r="B392" t="s">
        <v>10</v>
      </c>
      <c r="C392" s="16">
        <v>45941</v>
      </c>
      <c r="D392">
        <v>19654</v>
      </c>
      <c r="F392" t="s">
        <v>1</v>
      </c>
      <c r="H392" s="17">
        <f t="shared" ca="1" si="12"/>
        <v>46174</v>
      </c>
      <c r="I392" s="17" t="str">
        <f t="shared" ca="1" si="13"/>
        <v>90+ Days</v>
      </c>
    </row>
    <row r="393" spans="1:9">
      <c r="A393">
        <v>751</v>
      </c>
      <c r="B393" t="s">
        <v>71</v>
      </c>
      <c r="C393" s="16">
        <v>45941</v>
      </c>
      <c r="D393">
        <v>10116</v>
      </c>
      <c r="F393" t="s">
        <v>1</v>
      </c>
      <c r="H393" s="17">
        <f t="shared" ca="1" si="12"/>
        <v>46174</v>
      </c>
      <c r="I393" s="17" t="str">
        <f t="shared" ca="1" si="13"/>
        <v>90+ Days</v>
      </c>
    </row>
    <row r="394" spans="1:9">
      <c r="A394">
        <v>752</v>
      </c>
      <c r="B394" t="s">
        <v>71</v>
      </c>
      <c r="C394" s="16">
        <v>45941</v>
      </c>
      <c r="D394">
        <v>15120</v>
      </c>
      <c r="F394" t="s">
        <v>1</v>
      </c>
      <c r="H394" s="17">
        <f t="shared" ca="1" si="12"/>
        <v>46174</v>
      </c>
      <c r="I394" s="17" t="str">
        <f t="shared" ca="1" si="13"/>
        <v>90+ Days</v>
      </c>
    </row>
    <row r="395" spans="1:9">
      <c r="A395">
        <v>753</v>
      </c>
      <c r="B395" t="s">
        <v>8</v>
      </c>
      <c r="C395" s="16">
        <v>45941</v>
      </c>
      <c r="D395">
        <v>47336</v>
      </c>
      <c r="F395" t="s">
        <v>1</v>
      </c>
      <c r="H395" s="17">
        <f t="shared" ca="1" si="12"/>
        <v>46174</v>
      </c>
      <c r="I395" s="17" t="str">
        <f t="shared" ca="1" si="13"/>
        <v>90+ Days</v>
      </c>
    </row>
    <row r="396" spans="1:9">
      <c r="A396">
        <v>754</v>
      </c>
      <c r="B396" t="s">
        <v>101</v>
      </c>
      <c r="C396" s="16">
        <v>45941</v>
      </c>
      <c r="D396">
        <v>4935</v>
      </c>
      <c r="F396" t="s">
        <v>1</v>
      </c>
      <c r="H396" s="17">
        <f t="shared" ca="1" si="12"/>
        <v>46174</v>
      </c>
      <c r="I396" s="17" t="str">
        <f t="shared" ca="1" si="13"/>
        <v>90+ Days</v>
      </c>
    </row>
    <row r="397" spans="1:9">
      <c r="A397">
        <v>755</v>
      </c>
      <c r="B397" t="s">
        <v>39</v>
      </c>
      <c r="C397" s="16">
        <v>45941</v>
      </c>
      <c r="D397">
        <v>10658</v>
      </c>
      <c r="F397" t="s">
        <v>1</v>
      </c>
      <c r="H397" s="17">
        <f t="shared" ca="1" si="12"/>
        <v>46174</v>
      </c>
      <c r="I397" s="17" t="str">
        <f t="shared" ca="1" si="13"/>
        <v>90+ Days</v>
      </c>
    </row>
    <row r="398" spans="1:9">
      <c r="A398">
        <v>756</v>
      </c>
      <c r="B398" t="s">
        <v>11</v>
      </c>
      <c r="C398" s="16">
        <v>45943</v>
      </c>
      <c r="D398">
        <v>24350</v>
      </c>
      <c r="F398" t="s">
        <v>1</v>
      </c>
      <c r="H398" s="17">
        <f t="shared" ca="1" si="12"/>
        <v>46174</v>
      </c>
      <c r="I398" s="17" t="str">
        <f t="shared" ca="1" si="13"/>
        <v>90+ Days</v>
      </c>
    </row>
    <row r="399" spans="1:9">
      <c r="A399">
        <v>757</v>
      </c>
      <c r="B399" t="s">
        <v>89</v>
      </c>
      <c r="C399" s="16">
        <v>45943</v>
      </c>
      <c r="D399">
        <v>5565</v>
      </c>
      <c r="F399" t="s">
        <v>1</v>
      </c>
      <c r="H399" s="17">
        <f t="shared" ca="1" si="12"/>
        <v>46174</v>
      </c>
      <c r="I399" s="17" t="str">
        <f t="shared" ca="1" si="13"/>
        <v>90+ Days</v>
      </c>
    </row>
    <row r="400" spans="1:9">
      <c r="A400">
        <v>758</v>
      </c>
      <c r="B400" t="s">
        <v>37</v>
      </c>
      <c r="C400" s="16">
        <v>45943</v>
      </c>
      <c r="D400">
        <v>10185</v>
      </c>
      <c r="F400" t="s">
        <v>27</v>
      </c>
      <c r="H400" s="17">
        <f t="shared" ca="1" si="12"/>
        <v>0</v>
      </c>
      <c r="I400" s="17" t="str">
        <f t="shared" ca="1" si="13"/>
        <v>Not Overdue</v>
      </c>
    </row>
    <row r="401" spans="1:9">
      <c r="A401">
        <v>759</v>
      </c>
      <c r="B401" t="s">
        <v>58</v>
      </c>
      <c r="C401" s="16">
        <v>45943</v>
      </c>
      <c r="D401">
        <v>20687</v>
      </c>
      <c r="F401" t="s">
        <v>1</v>
      </c>
      <c r="H401" s="17">
        <f t="shared" ca="1" si="12"/>
        <v>46174</v>
      </c>
      <c r="I401" s="17" t="str">
        <f t="shared" ca="1" si="13"/>
        <v>90+ Days</v>
      </c>
    </row>
    <row r="402" spans="1:9">
      <c r="A402">
        <v>760</v>
      </c>
      <c r="B402" t="s">
        <v>82</v>
      </c>
      <c r="C402" s="16">
        <v>45943</v>
      </c>
      <c r="D402">
        <v>3712</v>
      </c>
      <c r="F402" t="s">
        <v>1</v>
      </c>
      <c r="H402" s="17">
        <f t="shared" ca="1" si="12"/>
        <v>46174</v>
      </c>
      <c r="I402" s="17" t="str">
        <f t="shared" ca="1" si="13"/>
        <v>90+ Days</v>
      </c>
    </row>
    <row r="403" spans="1:9">
      <c r="A403">
        <v>761</v>
      </c>
      <c r="B403" t="s">
        <v>7</v>
      </c>
      <c r="C403" s="16">
        <v>45944</v>
      </c>
      <c r="D403">
        <v>36138</v>
      </c>
      <c r="F403" t="s">
        <v>1</v>
      </c>
      <c r="H403" s="17">
        <f t="shared" ca="1" si="12"/>
        <v>46174</v>
      </c>
      <c r="I403" s="17" t="str">
        <f t="shared" ca="1" si="13"/>
        <v>90+ Days</v>
      </c>
    </row>
    <row r="404" spans="1:9">
      <c r="A404">
        <v>762</v>
      </c>
      <c r="B404" t="s">
        <v>43</v>
      </c>
      <c r="C404" s="16">
        <v>45945</v>
      </c>
      <c r="D404">
        <v>2808</v>
      </c>
      <c r="F404" t="s">
        <v>1</v>
      </c>
      <c r="H404" s="17">
        <f t="shared" ca="1" si="12"/>
        <v>46174</v>
      </c>
      <c r="I404" s="17" t="str">
        <f t="shared" ca="1" si="13"/>
        <v>90+ Days</v>
      </c>
    </row>
    <row r="405" spans="1:9">
      <c r="A405">
        <v>763</v>
      </c>
      <c r="B405" t="s">
        <v>16</v>
      </c>
      <c r="C405" s="16">
        <v>45945</v>
      </c>
      <c r="D405">
        <v>11802</v>
      </c>
      <c r="F405" t="s">
        <v>1</v>
      </c>
      <c r="H405" s="17">
        <f t="shared" ca="1" si="12"/>
        <v>46174</v>
      </c>
      <c r="I405" s="17" t="str">
        <f t="shared" ca="1" si="13"/>
        <v>90+ Days</v>
      </c>
    </row>
    <row r="406" spans="1:9">
      <c r="A406">
        <v>764</v>
      </c>
      <c r="B406" t="s">
        <v>61</v>
      </c>
      <c r="C406" s="16">
        <v>45945</v>
      </c>
      <c r="D406">
        <v>5319</v>
      </c>
      <c r="F406" t="s">
        <v>1</v>
      </c>
      <c r="H406" s="17">
        <f t="shared" ca="1" si="12"/>
        <v>46174</v>
      </c>
      <c r="I406" s="17" t="str">
        <f t="shared" ca="1" si="13"/>
        <v>90+ Days</v>
      </c>
    </row>
    <row r="407" spans="1:9">
      <c r="A407">
        <v>765</v>
      </c>
      <c r="B407" t="s">
        <v>61</v>
      </c>
      <c r="C407" s="16">
        <v>45945</v>
      </c>
      <c r="D407">
        <v>3749</v>
      </c>
      <c r="F407" t="s">
        <v>1</v>
      </c>
      <c r="H407" s="17">
        <f t="shared" ca="1" si="12"/>
        <v>46174</v>
      </c>
      <c r="I407" s="17" t="str">
        <f t="shared" ca="1" si="13"/>
        <v>90+ Days</v>
      </c>
    </row>
    <row r="408" spans="1:9">
      <c r="A408">
        <v>766</v>
      </c>
      <c r="B408" t="s">
        <v>47</v>
      </c>
      <c r="C408" s="16">
        <v>45945</v>
      </c>
      <c r="D408">
        <v>3702</v>
      </c>
      <c r="F408" t="s">
        <v>1</v>
      </c>
      <c r="H408" s="17">
        <f t="shared" ca="1" si="12"/>
        <v>46174</v>
      </c>
      <c r="I408" s="17" t="str">
        <f t="shared" ca="1" si="13"/>
        <v>90+ Days</v>
      </c>
    </row>
    <row r="409" spans="1:9">
      <c r="A409">
        <v>767</v>
      </c>
      <c r="B409" t="s">
        <v>29</v>
      </c>
      <c r="C409" s="16">
        <v>45945</v>
      </c>
      <c r="D409">
        <v>12796</v>
      </c>
      <c r="F409" t="s">
        <v>1</v>
      </c>
      <c r="H409" s="17">
        <f t="shared" ca="1" si="12"/>
        <v>46174</v>
      </c>
      <c r="I409" s="17" t="str">
        <f t="shared" ca="1" si="13"/>
        <v>90+ Days</v>
      </c>
    </row>
    <row r="410" spans="1:9">
      <c r="A410">
        <v>768</v>
      </c>
      <c r="B410" t="s">
        <v>29</v>
      </c>
      <c r="C410" s="16">
        <v>45945</v>
      </c>
      <c r="D410">
        <v>6694</v>
      </c>
      <c r="F410" t="s">
        <v>1</v>
      </c>
      <c r="H410" s="17">
        <f t="shared" ca="1" si="12"/>
        <v>46174</v>
      </c>
      <c r="I410" s="17" t="str">
        <f t="shared" ca="1" si="13"/>
        <v>90+ Days</v>
      </c>
    </row>
    <row r="411" spans="1:9">
      <c r="A411">
        <v>769</v>
      </c>
      <c r="B411" t="s">
        <v>70</v>
      </c>
      <c r="C411" s="16">
        <v>45945</v>
      </c>
      <c r="D411">
        <v>24195</v>
      </c>
      <c r="F411" t="s">
        <v>27</v>
      </c>
      <c r="H411" s="17">
        <f t="shared" ca="1" si="12"/>
        <v>0</v>
      </c>
      <c r="I411" s="17" t="str">
        <f t="shared" ca="1" si="13"/>
        <v>Not Overdue</v>
      </c>
    </row>
    <row r="412" spans="1:9">
      <c r="A412">
        <v>770</v>
      </c>
      <c r="B412" t="s">
        <v>121</v>
      </c>
      <c r="C412" s="16">
        <v>45946</v>
      </c>
      <c r="D412">
        <v>26205</v>
      </c>
      <c r="F412" t="s">
        <v>1</v>
      </c>
      <c r="H412" s="17">
        <f t="shared" ca="1" si="12"/>
        <v>46174</v>
      </c>
      <c r="I412" s="17" t="str">
        <f t="shared" ca="1" si="13"/>
        <v>90+ Days</v>
      </c>
    </row>
    <row r="413" spans="1:9">
      <c r="A413">
        <v>771</v>
      </c>
      <c r="B413" t="s">
        <v>28</v>
      </c>
      <c r="C413" s="16">
        <v>45946</v>
      </c>
      <c r="D413">
        <v>8426</v>
      </c>
      <c r="F413" t="s">
        <v>1</v>
      </c>
      <c r="H413" s="17">
        <f t="shared" ca="1" si="12"/>
        <v>46174</v>
      </c>
      <c r="I413" s="17" t="str">
        <f t="shared" ca="1" si="13"/>
        <v>90+ Days</v>
      </c>
    </row>
    <row r="414" spans="1:9">
      <c r="A414">
        <v>772</v>
      </c>
      <c r="B414" t="s">
        <v>49</v>
      </c>
      <c r="C414" s="16">
        <v>45946</v>
      </c>
      <c r="D414">
        <v>27300</v>
      </c>
      <c r="F414" t="s">
        <v>1</v>
      </c>
      <c r="H414" s="17">
        <f t="shared" ca="1" si="12"/>
        <v>46174</v>
      </c>
      <c r="I414" s="17" t="str">
        <f t="shared" ca="1" si="13"/>
        <v>90+ Days</v>
      </c>
    </row>
    <row r="415" spans="1:9">
      <c r="A415">
        <v>773</v>
      </c>
      <c r="B415" t="s">
        <v>39</v>
      </c>
      <c r="C415" s="16">
        <v>45946</v>
      </c>
      <c r="D415">
        <v>4567</v>
      </c>
      <c r="F415" t="s">
        <v>1</v>
      </c>
      <c r="H415" s="17">
        <f t="shared" ca="1" si="12"/>
        <v>46174</v>
      </c>
      <c r="I415" s="17" t="str">
        <f t="shared" ca="1" si="13"/>
        <v>90+ Days</v>
      </c>
    </row>
    <row r="416" spans="1:9">
      <c r="A416">
        <v>774</v>
      </c>
      <c r="B416" t="s">
        <v>90</v>
      </c>
      <c r="C416" s="16">
        <v>45946</v>
      </c>
      <c r="D416">
        <v>35188</v>
      </c>
      <c r="F416" t="s">
        <v>1</v>
      </c>
      <c r="H416" s="17">
        <f t="shared" ca="1" si="12"/>
        <v>46174</v>
      </c>
      <c r="I416" s="17" t="str">
        <f t="shared" ca="1" si="13"/>
        <v>90+ Days</v>
      </c>
    </row>
    <row r="417" spans="1:9">
      <c r="A417">
        <v>775</v>
      </c>
      <c r="B417" t="s">
        <v>51</v>
      </c>
      <c r="C417" s="16">
        <v>45946</v>
      </c>
      <c r="D417">
        <v>9660</v>
      </c>
      <c r="F417" t="s">
        <v>1</v>
      </c>
      <c r="H417" s="17">
        <f t="shared" ca="1" si="12"/>
        <v>46174</v>
      </c>
      <c r="I417" s="17" t="str">
        <f t="shared" ca="1" si="13"/>
        <v>90+ Days</v>
      </c>
    </row>
    <row r="418" spans="1:9">
      <c r="A418">
        <v>776</v>
      </c>
      <c r="B418" t="s">
        <v>25</v>
      </c>
      <c r="C418" s="16">
        <v>45947</v>
      </c>
      <c r="D418">
        <v>19320</v>
      </c>
      <c r="F418" t="s">
        <v>1</v>
      </c>
      <c r="H418" s="17">
        <f t="shared" ca="1" si="12"/>
        <v>46174</v>
      </c>
      <c r="I418" s="17" t="str">
        <f t="shared" ca="1" si="13"/>
        <v>90+ Days</v>
      </c>
    </row>
    <row r="419" spans="1:9">
      <c r="A419">
        <v>777</v>
      </c>
      <c r="B419" t="s">
        <v>55</v>
      </c>
      <c r="C419" s="16">
        <v>45947</v>
      </c>
      <c r="D419">
        <v>20580</v>
      </c>
      <c r="F419" t="s">
        <v>1</v>
      </c>
      <c r="H419" s="17">
        <f t="shared" ca="1" si="12"/>
        <v>46174</v>
      </c>
      <c r="I419" s="17" t="str">
        <f t="shared" ca="1" si="13"/>
        <v>90+ Days</v>
      </c>
    </row>
    <row r="420" spans="1:9">
      <c r="A420">
        <v>778</v>
      </c>
      <c r="B420" t="s">
        <v>9</v>
      </c>
      <c r="C420" s="16">
        <v>45947</v>
      </c>
      <c r="D420">
        <v>10502</v>
      </c>
      <c r="F420" t="s">
        <v>1</v>
      </c>
      <c r="H420" s="17">
        <f t="shared" ca="1" si="12"/>
        <v>46174</v>
      </c>
      <c r="I420" s="17" t="str">
        <f t="shared" ca="1" si="13"/>
        <v>90+ Days</v>
      </c>
    </row>
    <row r="421" spans="1:9">
      <c r="A421">
        <v>779</v>
      </c>
      <c r="B421" t="s">
        <v>110</v>
      </c>
      <c r="C421" s="16">
        <v>45948</v>
      </c>
      <c r="D421">
        <v>2016</v>
      </c>
      <c r="F421" t="s">
        <v>1</v>
      </c>
      <c r="G421" s="16">
        <v>45978</v>
      </c>
      <c r="H421" s="17">
        <f t="shared" ca="1" si="12"/>
        <v>196</v>
      </c>
      <c r="I421" s="17" t="str">
        <f t="shared" ca="1" si="13"/>
        <v>90+ Days</v>
      </c>
    </row>
    <row r="422" spans="1:9">
      <c r="A422">
        <v>780</v>
      </c>
      <c r="B422" t="s">
        <v>7</v>
      </c>
      <c r="C422" s="16">
        <v>45949</v>
      </c>
      <c r="D422">
        <v>14438</v>
      </c>
      <c r="F422" t="s">
        <v>1</v>
      </c>
      <c r="G422" s="16">
        <v>45979</v>
      </c>
      <c r="H422" s="17">
        <f t="shared" ca="1" si="12"/>
        <v>195</v>
      </c>
      <c r="I422" s="17" t="str">
        <f t="shared" ca="1" si="13"/>
        <v>90+ Days</v>
      </c>
    </row>
    <row r="423" spans="1:9">
      <c r="A423">
        <v>781</v>
      </c>
      <c r="B423" t="s">
        <v>100</v>
      </c>
      <c r="C423" s="16">
        <v>45954</v>
      </c>
      <c r="D423">
        <v>18965</v>
      </c>
      <c r="F423" t="s">
        <v>1</v>
      </c>
      <c r="G423" s="16">
        <v>45984</v>
      </c>
      <c r="H423" s="17">
        <f t="shared" ca="1" si="12"/>
        <v>190</v>
      </c>
      <c r="I423" s="17" t="str">
        <f t="shared" ca="1" si="13"/>
        <v>90+ Days</v>
      </c>
    </row>
    <row r="424" spans="1:9">
      <c r="A424">
        <v>782</v>
      </c>
      <c r="B424" t="s">
        <v>57</v>
      </c>
      <c r="C424" s="16">
        <v>45954</v>
      </c>
      <c r="D424">
        <v>48597</v>
      </c>
      <c r="F424" t="s">
        <v>27</v>
      </c>
      <c r="G424" s="16">
        <v>45984</v>
      </c>
      <c r="H424" s="17">
        <f t="shared" ca="1" si="12"/>
        <v>0</v>
      </c>
      <c r="I424" s="17" t="str">
        <f t="shared" ca="1" si="13"/>
        <v>Not Overdue</v>
      </c>
    </row>
    <row r="425" spans="1:9">
      <c r="A425">
        <v>783</v>
      </c>
      <c r="B425" t="s">
        <v>42</v>
      </c>
      <c r="C425" s="16">
        <v>45954</v>
      </c>
      <c r="D425">
        <v>13125</v>
      </c>
      <c r="F425" t="s">
        <v>1</v>
      </c>
      <c r="G425" s="16">
        <v>45961</v>
      </c>
      <c r="H425" s="17">
        <f t="shared" ca="1" si="12"/>
        <v>213</v>
      </c>
      <c r="I425" s="17" t="str">
        <f t="shared" ca="1" si="13"/>
        <v>90+ Days</v>
      </c>
    </row>
    <row r="426" spans="1:9">
      <c r="A426">
        <v>784</v>
      </c>
      <c r="B426" t="s">
        <v>42</v>
      </c>
      <c r="C426" s="16">
        <v>45954</v>
      </c>
      <c r="D426">
        <v>16170</v>
      </c>
      <c r="F426" t="s">
        <v>1</v>
      </c>
      <c r="G426" s="16">
        <v>45961</v>
      </c>
      <c r="H426" s="17">
        <f t="shared" ca="1" si="12"/>
        <v>213</v>
      </c>
      <c r="I426" s="17" t="str">
        <f t="shared" ca="1" si="13"/>
        <v>90+ Days</v>
      </c>
    </row>
    <row r="427" spans="1:9">
      <c r="A427">
        <v>785</v>
      </c>
      <c r="B427" t="s">
        <v>7</v>
      </c>
      <c r="C427" s="16">
        <v>45954</v>
      </c>
      <c r="D427">
        <v>1770</v>
      </c>
      <c r="F427" t="s">
        <v>1</v>
      </c>
      <c r="G427" s="16">
        <v>45984</v>
      </c>
      <c r="H427" s="17">
        <f t="shared" ca="1" si="12"/>
        <v>190</v>
      </c>
      <c r="I427" s="17" t="str">
        <f t="shared" ca="1" si="13"/>
        <v>90+ Days</v>
      </c>
    </row>
    <row r="428" spans="1:9">
      <c r="A428">
        <v>786</v>
      </c>
      <c r="B428" t="s">
        <v>12</v>
      </c>
      <c r="C428" s="16">
        <v>45955</v>
      </c>
      <c r="D428">
        <v>9576</v>
      </c>
      <c r="F428" t="s">
        <v>1</v>
      </c>
      <c r="G428" s="16">
        <v>45985</v>
      </c>
      <c r="H428" s="17">
        <f t="shared" ca="1" si="12"/>
        <v>189</v>
      </c>
      <c r="I428" s="17" t="str">
        <f t="shared" ca="1" si="13"/>
        <v>90+ Days</v>
      </c>
    </row>
    <row r="429" spans="1:9">
      <c r="A429">
        <v>787</v>
      </c>
      <c r="B429" t="s">
        <v>13</v>
      </c>
      <c r="C429" s="16">
        <v>45957</v>
      </c>
      <c r="D429">
        <v>42999</v>
      </c>
      <c r="F429" t="s">
        <v>1</v>
      </c>
      <c r="H429" s="17">
        <f t="shared" ca="1" si="12"/>
        <v>46174</v>
      </c>
      <c r="I429" s="17" t="str">
        <f t="shared" ca="1" si="13"/>
        <v>90+ Days</v>
      </c>
    </row>
    <row r="430" spans="1:9">
      <c r="A430">
        <v>788</v>
      </c>
      <c r="B430" t="s">
        <v>87</v>
      </c>
      <c r="C430" s="16">
        <v>45957</v>
      </c>
      <c r="D430">
        <v>10143</v>
      </c>
      <c r="F430" t="s">
        <v>1</v>
      </c>
      <c r="H430" s="17">
        <f t="shared" ca="1" si="12"/>
        <v>46174</v>
      </c>
      <c r="I430" s="17" t="str">
        <f t="shared" ca="1" si="13"/>
        <v>90+ Days</v>
      </c>
    </row>
    <row r="431" spans="1:9">
      <c r="A431">
        <v>789</v>
      </c>
      <c r="B431" t="s">
        <v>41</v>
      </c>
      <c r="C431" s="16">
        <v>45957</v>
      </c>
      <c r="D431">
        <v>8623</v>
      </c>
      <c r="F431" t="s">
        <v>1</v>
      </c>
      <c r="H431" s="17">
        <f t="shared" ca="1" si="12"/>
        <v>46174</v>
      </c>
      <c r="I431" s="17" t="str">
        <f t="shared" ca="1" si="13"/>
        <v>90+ Days</v>
      </c>
    </row>
    <row r="432" spans="1:9">
      <c r="A432">
        <v>790</v>
      </c>
      <c r="B432" t="s">
        <v>78</v>
      </c>
      <c r="C432" s="16">
        <v>45957</v>
      </c>
      <c r="D432">
        <v>29906</v>
      </c>
      <c r="F432" t="s">
        <v>1</v>
      </c>
      <c r="H432" s="17">
        <f t="shared" ca="1" si="12"/>
        <v>46174</v>
      </c>
      <c r="I432" s="17" t="str">
        <f t="shared" ca="1" si="13"/>
        <v>90+ Days</v>
      </c>
    </row>
    <row r="433" spans="1:9">
      <c r="A433">
        <v>791</v>
      </c>
      <c r="B433" t="s">
        <v>44</v>
      </c>
      <c r="C433" s="16">
        <v>45957</v>
      </c>
      <c r="D433">
        <v>3665</v>
      </c>
      <c r="F433" t="s">
        <v>1</v>
      </c>
      <c r="H433" s="17">
        <f t="shared" ca="1" si="12"/>
        <v>46174</v>
      </c>
      <c r="I433" s="17" t="str">
        <f t="shared" ca="1" si="13"/>
        <v>90+ Days</v>
      </c>
    </row>
    <row r="434" spans="1:9">
      <c r="A434">
        <v>792</v>
      </c>
      <c r="B434" t="s">
        <v>7</v>
      </c>
      <c r="C434" s="16">
        <v>45957</v>
      </c>
      <c r="D434">
        <v>1770</v>
      </c>
      <c r="F434" t="s">
        <v>1</v>
      </c>
      <c r="H434" s="17">
        <f t="shared" ca="1" si="12"/>
        <v>46174</v>
      </c>
      <c r="I434" s="17" t="str">
        <f t="shared" ca="1" si="13"/>
        <v>90+ Days</v>
      </c>
    </row>
    <row r="435" spans="1:9">
      <c r="A435">
        <v>793</v>
      </c>
      <c r="B435" t="s">
        <v>122</v>
      </c>
      <c r="C435" s="16">
        <v>45957</v>
      </c>
      <c r="D435">
        <v>5040</v>
      </c>
      <c r="F435" t="s">
        <v>27</v>
      </c>
      <c r="H435" s="17">
        <f t="shared" ca="1" si="12"/>
        <v>0</v>
      </c>
      <c r="I435" s="17" t="str">
        <f t="shared" ca="1" si="13"/>
        <v>Not Overdue</v>
      </c>
    </row>
    <row r="436" spans="1:9">
      <c r="A436">
        <v>794</v>
      </c>
      <c r="B436" t="s">
        <v>76</v>
      </c>
      <c r="C436" s="16">
        <v>45958</v>
      </c>
      <c r="D436">
        <v>10080</v>
      </c>
      <c r="F436" t="s">
        <v>1</v>
      </c>
      <c r="H436" s="17">
        <f t="shared" ca="1" si="12"/>
        <v>46174</v>
      </c>
      <c r="I436" s="17" t="str">
        <f t="shared" ca="1" si="13"/>
        <v>90+ Days</v>
      </c>
    </row>
    <row r="437" spans="1:9">
      <c r="A437">
        <v>795</v>
      </c>
      <c r="B437" t="s">
        <v>39</v>
      </c>
      <c r="C437" s="16">
        <v>45958</v>
      </c>
      <c r="D437">
        <v>15120</v>
      </c>
      <c r="F437" t="s">
        <v>1</v>
      </c>
      <c r="H437" s="17">
        <f t="shared" ca="1" si="12"/>
        <v>46174</v>
      </c>
      <c r="I437" s="17" t="str">
        <f t="shared" ca="1" si="13"/>
        <v>90+ Days</v>
      </c>
    </row>
    <row r="438" spans="1:9">
      <c r="A438">
        <v>796</v>
      </c>
      <c r="B438" t="s">
        <v>9</v>
      </c>
      <c r="C438" s="16">
        <v>45958</v>
      </c>
      <c r="D438">
        <v>9870</v>
      </c>
      <c r="F438" t="s">
        <v>1</v>
      </c>
      <c r="H438" s="17">
        <f t="shared" ca="1" si="12"/>
        <v>46174</v>
      </c>
      <c r="I438" s="17" t="str">
        <f t="shared" ca="1" si="13"/>
        <v>90+ Days</v>
      </c>
    </row>
    <row r="439" spans="1:9">
      <c r="A439">
        <v>797</v>
      </c>
      <c r="B439" t="s">
        <v>9</v>
      </c>
      <c r="C439" s="16">
        <v>45958</v>
      </c>
      <c r="D439">
        <v>10502</v>
      </c>
      <c r="F439" t="s">
        <v>1</v>
      </c>
      <c r="H439" s="17">
        <f t="shared" ca="1" si="12"/>
        <v>46174</v>
      </c>
      <c r="I439" s="17" t="str">
        <f t="shared" ca="1" si="13"/>
        <v>90+ Days</v>
      </c>
    </row>
    <row r="440" spans="1:9">
      <c r="A440">
        <v>798</v>
      </c>
      <c r="B440" t="s">
        <v>14</v>
      </c>
      <c r="C440" s="16">
        <v>45958</v>
      </c>
      <c r="D440">
        <v>10080</v>
      </c>
      <c r="F440" t="s">
        <v>1</v>
      </c>
      <c r="H440" s="17">
        <f t="shared" ca="1" si="12"/>
        <v>46174</v>
      </c>
      <c r="I440" s="17" t="str">
        <f t="shared" ca="1" si="13"/>
        <v>90+ Days</v>
      </c>
    </row>
    <row r="441" spans="1:9">
      <c r="A441">
        <v>799</v>
      </c>
      <c r="B441" t="s">
        <v>54</v>
      </c>
      <c r="C441" s="16">
        <v>45958</v>
      </c>
      <c r="D441">
        <v>1449</v>
      </c>
      <c r="F441" t="s">
        <v>1</v>
      </c>
      <c r="H441" s="17">
        <f t="shared" ca="1" si="12"/>
        <v>46174</v>
      </c>
      <c r="I441" s="17" t="str">
        <f t="shared" ca="1" si="13"/>
        <v>90+ Days</v>
      </c>
    </row>
    <row r="442" spans="1:9">
      <c r="A442">
        <v>800</v>
      </c>
      <c r="B442" t="s">
        <v>54</v>
      </c>
      <c r="C442" s="16">
        <v>45958</v>
      </c>
      <c r="D442">
        <v>3789</v>
      </c>
      <c r="F442" t="s">
        <v>1</v>
      </c>
      <c r="H442" s="17">
        <f t="shared" ca="1" si="12"/>
        <v>46174</v>
      </c>
      <c r="I442" s="17" t="str">
        <f t="shared" ca="1" si="13"/>
        <v>90+ Days</v>
      </c>
    </row>
    <row r="443" spans="1:9">
      <c r="A443">
        <v>801</v>
      </c>
      <c r="B443" t="s">
        <v>31</v>
      </c>
      <c r="C443" s="16">
        <v>45958</v>
      </c>
      <c r="D443">
        <v>5174</v>
      </c>
      <c r="F443" t="s">
        <v>1</v>
      </c>
      <c r="H443" s="17">
        <f t="shared" ca="1" si="12"/>
        <v>46174</v>
      </c>
      <c r="I443" s="17" t="str">
        <f t="shared" ca="1" si="13"/>
        <v>90+ Days</v>
      </c>
    </row>
    <row r="444" spans="1:9">
      <c r="A444">
        <v>802</v>
      </c>
      <c r="B444" t="s">
        <v>53</v>
      </c>
      <c r="C444" s="16">
        <v>45958</v>
      </c>
      <c r="D444">
        <v>2441</v>
      </c>
      <c r="F444" t="s">
        <v>1</v>
      </c>
      <c r="H444" s="17">
        <f t="shared" ca="1" si="12"/>
        <v>46174</v>
      </c>
      <c r="I444" s="17" t="str">
        <f t="shared" ca="1" si="13"/>
        <v>90+ Days</v>
      </c>
    </row>
    <row r="445" spans="1:9">
      <c r="A445">
        <v>803</v>
      </c>
      <c r="B445" t="s">
        <v>62</v>
      </c>
      <c r="C445" s="16">
        <v>45959</v>
      </c>
      <c r="D445">
        <v>4342</v>
      </c>
      <c r="F445" t="s">
        <v>27</v>
      </c>
      <c r="H445" s="17">
        <f t="shared" ca="1" si="12"/>
        <v>0</v>
      </c>
      <c r="I445" s="17" t="str">
        <f t="shared" ca="1" si="13"/>
        <v>Not Overdue</v>
      </c>
    </row>
    <row r="446" spans="1:9">
      <c r="A446">
        <v>804</v>
      </c>
      <c r="B446" t="s">
        <v>15</v>
      </c>
      <c r="C446" s="16">
        <v>45959</v>
      </c>
      <c r="D446">
        <v>19215</v>
      </c>
      <c r="F446" t="s">
        <v>1</v>
      </c>
      <c r="H446" s="17">
        <f t="shared" ca="1" si="12"/>
        <v>46174</v>
      </c>
      <c r="I446" s="17" t="str">
        <f t="shared" ca="1" si="13"/>
        <v>90+ Days</v>
      </c>
    </row>
    <row r="447" spans="1:9">
      <c r="A447">
        <v>805</v>
      </c>
      <c r="B447" t="s">
        <v>15</v>
      </c>
      <c r="C447" s="16">
        <v>45959</v>
      </c>
      <c r="D447">
        <v>4673</v>
      </c>
      <c r="F447" t="s">
        <v>1</v>
      </c>
      <c r="H447" s="17">
        <f t="shared" ca="1" si="12"/>
        <v>46174</v>
      </c>
      <c r="I447" s="17" t="str">
        <f t="shared" ca="1" si="13"/>
        <v>90+ Days</v>
      </c>
    </row>
    <row r="448" spans="1:9">
      <c r="A448">
        <v>806</v>
      </c>
      <c r="B448" t="s">
        <v>98</v>
      </c>
      <c r="C448" s="16">
        <v>45959</v>
      </c>
      <c r="D448">
        <v>15709</v>
      </c>
      <c r="F448" t="s">
        <v>27</v>
      </c>
      <c r="H448" s="17">
        <f t="shared" ca="1" si="12"/>
        <v>0</v>
      </c>
      <c r="I448" s="17" t="str">
        <f t="shared" ca="1" si="13"/>
        <v>Not Overdue</v>
      </c>
    </row>
    <row r="449" spans="1:9">
      <c r="A449">
        <v>807</v>
      </c>
      <c r="B449" t="s">
        <v>32</v>
      </c>
      <c r="C449" s="16">
        <v>45959</v>
      </c>
      <c r="D449">
        <v>10021</v>
      </c>
      <c r="F449" t="s">
        <v>1</v>
      </c>
      <c r="H449" s="17">
        <f t="shared" ca="1" si="12"/>
        <v>46174</v>
      </c>
      <c r="I449" s="17" t="str">
        <f t="shared" ca="1" si="13"/>
        <v>90+ Days</v>
      </c>
    </row>
    <row r="450" spans="1:9">
      <c r="A450">
        <v>808</v>
      </c>
      <c r="B450" t="s">
        <v>51</v>
      </c>
      <c r="C450" s="16">
        <v>45959</v>
      </c>
      <c r="D450">
        <v>19320</v>
      </c>
      <c r="F450" t="s">
        <v>1</v>
      </c>
      <c r="H450" s="17">
        <f t="shared" ref="H450:H513" ca="1" si="14">IF(F450="Closed", 0, IF(TODAY()&gt;G450, TODAY()-G450, 0))</f>
        <v>46174</v>
      </c>
      <c r="I450" s="17" t="str">
        <f t="shared" ref="I450:I513" ca="1" si="15">IF(H450=0, "Not Overdue", IF(H450&lt;=30, "1-30 Days", IF(H450&lt;=60, "31-60 Days", IF(H450&lt;=90, "61-90 Days", "90+ Days"))))</f>
        <v>90+ Days</v>
      </c>
    </row>
    <row r="451" spans="1:9">
      <c r="A451">
        <v>809</v>
      </c>
      <c r="B451" t="s">
        <v>12</v>
      </c>
      <c r="C451" s="16">
        <v>45959</v>
      </c>
      <c r="D451">
        <v>9576</v>
      </c>
      <c r="F451" t="s">
        <v>1</v>
      </c>
      <c r="H451" s="17">
        <f t="shared" ca="1" si="14"/>
        <v>46174</v>
      </c>
      <c r="I451" s="17" t="str">
        <f t="shared" ca="1" si="15"/>
        <v>90+ Days</v>
      </c>
    </row>
    <row r="452" spans="1:9">
      <c r="A452">
        <v>810</v>
      </c>
      <c r="B452" t="s">
        <v>13</v>
      </c>
      <c r="C452" s="16">
        <v>45960</v>
      </c>
      <c r="D452">
        <v>17490</v>
      </c>
      <c r="F452" t="s">
        <v>1</v>
      </c>
      <c r="H452" s="17">
        <f t="shared" ca="1" si="14"/>
        <v>46174</v>
      </c>
      <c r="I452" s="17" t="str">
        <f t="shared" ca="1" si="15"/>
        <v>90+ Days</v>
      </c>
    </row>
    <row r="453" spans="1:9">
      <c r="A453">
        <v>811</v>
      </c>
      <c r="B453" t="s">
        <v>10</v>
      </c>
      <c r="C453" s="16">
        <v>45960</v>
      </c>
      <c r="D453">
        <v>16626</v>
      </c>
      <c r="F453" t="s">
        <v>1</v>
      </c>
      <c r="H453" s="17">
        <f t="shared" ca="1" si="14"/>
        <v>46174</v>
      </c>
      <c r="I453" s="17" t="str">
        <f t="shared" ca="1" si="15"/>
        <v>90+ Days</v>
      </c>
    </row>
    <row r="454" spans="1:9">
      <c r="A454">
        <v>812</v>
      </c>
      <c r="B454" t="s">
        <v>64</v>
      </c>
      <c r="C454" s="16">
        <v>45961</v>
      </c>
      <c r="D454">
        <v>9660</v>
      </c>
      <c r="F454" t="s">
        <v>27</v>
      </c>
      <c r="H454" s="17">
        <f t="shared" ca="1" si="14"/>
        <v>0</v>
      </c>
      <c r="I454" s="17" t="str">
        <f t="shared" ca="1" si="15"/>
        <v>Not Overdue</v>
      </c>
    </row>
    <row r="455" spans="1:9">
      <c r="A455">
        <v>813</v>
      </c>
      <c r="B455" t="s">
        <v>45</v>
      </c>
      <c r="C455" s="16">
        <v>45961</v>
      </c>
      <c r="D455">
        <v>28980</v>
      </c>
      <c r="F455" t="s">
        <v>1</v>
      </c>
      <c r="H455" s="17">
        <f t="shared" ca="1" si="14"/>
        <v>46174</v>
      </c>
      <c r="I455" s="17" t="str">
        <f t="shared" ca="1" si="15"/>
        <v>90+ Days</v>
      </c>
    </row>
    <row r="456" spans="1:9">
      <c r="A456">
        <v>814</v>
      </c>
      <c r="B456" t="s">
        <v>43</v>
      </c>
      <c r="C456" s="16">
        <v>45962</v>
      </c>
      <c r="D456">
        <v>20692</v>
      </c>
      <c r="F456" t="s">
        <v>1</v>
      </c>
      <c r="H456" s="17">
        <f t="shared" ca="1" si="14"/>
        <v>46174</v>
      </c>
      <c r="I456" s="17" t="str">
        <f t="shared" ca="1" si="15"/>
        <v>90+ Days</v>
      </c>
    </row>
    <row r="457" spans="1:9">
      <c r="A457">
        <v>815</v>
      </c>
      <c r="B457" t="s">
        <v>56</v>
      </c>
      <c r="C457" s="16">
        <v>45962</v>
      </c>
      <c r="D457">
        <v>9924</v>
      </c>
      <c r="F457" t="s">
        <v>1</v>
      </c>
      <c r="H457" s="17">
        <f t="shared" ca="1" si="14"/>
        <v>46174</v>
      </c>
      <c r="I457" s="17" t="str">
        <f t="shared" ca="1" si="15"/>
        <v>90+ Days</v>
      </c>
    </row>
    <row r="458" spans="1:9">
      <c r="A458">
        <v>816</v>
      </c>
      <c r="B458" t="s">
        <v>33</v>
      </c>
      <c r="C458" s="16">
        <v>45962</v>
      </c>
      <c r="D458">
        <v>4032</v>
      </c>
      <c r="F458" t="s">
        <v>1</v>
      </c>
      <c r="H458" s="17">
        <f t="shared" ca="1" si="14"/>
        <v>46174</v>
      </c>
      <c r="I458" s="17" t="str">
        <f t="shared" ca="1" si="15"/>
        <v>90+ Days</v>
      </c>
    </row>
    <row r="459" spans="1:9">
      <c r="A459">
        <v>817</v>
      </c>
      <c r="B459" t="s">
        <v>33</v>
      </c>
      <c r="C459" s="16">
        <v>45962</v>
      </c>
      <c r="D459">
        <v>8079</v>
      </c>
      <c r="F459" t="s">
        <v>1</v>
      </c>
      <c r="H459" s="17">
        <f t="shared" ca="1" si="14"/>
        <v>46174</v>
      </c>
      <c r="I459" s="17" t="str">
        <f t="shared" ca="1" si="15"/>
        <v>90+ Days</v>
      </c>
    </row>
    <row r="460" spans="1:9">
      <c r="A460">
        <v>818</v>
      </c>
      <c r="B460" t="s">
        <v>16</v>
      </c>
      <c r="C460" s="16">
        <v>45964</v>
      </c>
      <c r="D460">
        <v>5074</v>
      </c>
      <c r="F460" t="s">
        <v>1</v>
      </c>
      <c r="H460" s="17">
        <f t="shared" ca="1" si="14"/>
        <v>46174</v>
      </c>
      <c r="I460" s="17" t="str">
        <f t="shared" ca="1" si="15"/>
        <v>90+ Days</v>
      </c>
    </row>
    <row r="461" spans="1:9">
      <c r="A461">
        <v>819</v>
      </c>
      <c r="B461" t="s">
        <v>10</v>
      </c>
      <c r="C461" s="16">
        <v>45964</v>
      </c>
      <c r="D461">
        <v>9975</v>
      </c>
      <c r="F461" t="s">
        <v>1</v>
      </c>
      <c r="H461" s="17">
        <f t="shared" ca="1" si="14"/>
        <v>46174</v>
      </c>
      <c r="I461" s="17" t="str">
        <f t="shared" ca="1" si="15"/>
        <v>90+ Days</v>
      </c>
    </row>
    <row r="462" spans="1:9">
      <c r="A462">
        <v>820</v>
      </c>
      <c r="B462" t="s">
        <v>71</v>
      </c>
      <c r="C462" s="16">
        <v>45964</v>
      </c>
      <c r="D462">
        <v>12600</v>
      </c>
      <c r="F462" t="s">
        <v>1</v>
      </c>
      <c r="H462" s="17">
        <f t="shared" ca="1" si="14"/>
        <v>46174</v>
      </c>
      <c r="I462" s="17" t="str">
        <f t="shared" ca="1" si="15"/>
        <v>90+ Days</v>
      </c>
    </row>
    <row r="463" spans="1:9">
      <c r="A463">
        <v>821</v>
      </c>
      <c r="B463" t="s">
        <v>71</v>
      </c>
      <c r="C463" s="16">
        <v>45964</v>
      </c>
      <c r="D463">
        <v>4885</v>
      </c>
      <c r="F463" t="s">
        <v>1</v>
      </c>
      <c r="H463" s="17">
        <f t="shared" ca="1" si="14"/>
        <v>46174</v>
      </c>
      <c r="I463" s="17" t="str">
        <f t="shared" ca="1" si="15"/>
        <v>90+ Days</v>
      </c>
    </row>
    <row r="464" spans="1:9">
      <c r="A464">
        <v>822</v>
      </c>
      <c r="B464" t="s">
        <v>71</v>
      </c>
      <c r="C464" s="16">
        <v>45964</v>
      </c>
      <c r="D464">
        <v>1365</v>
      </c>
      <c r="F464" t="s">
        <v>1</v>
      </c>
      <c r="H464" s="17">
        <f t="shared" ca="1" si="14"/>
        <v>46174</v>
      </c>
      <c r="I464" s="17" t="str">
        <f t="shared" ca="1" si="15"/>
        <v>90+ Days</v>
      </c>
    </row>
    <row r="465" spans="1:9">
      <c r="A465">
        <v>823</v>
      </c>
      <c r="B465" t="s">
        <v>84</v>
      </c>
      <c r="C465" s="16">
        <v>45964</v>
      </c>
      <c r="D465">
        <v>7498</v>
      </c>
      <c r="F465" t="s">
        <v>1</v>
      </c>
      <c r="H465" s="17">
        <f t="shared" ca="1" si="14"/>
        <v>46174</v>
      </c>
      <c r="I465" s="17" t="str">
        <f t="shared" ca="1" si="15"/>
        <v>90+ Days</v>
      </c>
    </row>
    <row r="466" spans="1:9">
      <c r="A466">
        <v>824</v>
      </c>
      <c r="B466" t="s">
        <v>74</v>
      </c>
      <c r="C466" s="16">
        <v>45964</v>
      </c>
      <c r="D466">
        <v>5430</v>
      </c>
      <c r="F466" t="s">
        <v>1</v>
      </c>
      <c r="H466" s="17">
        <f t="shared" ca="1" si="14"/>
        <v>46174</v>
      </c>
      <c r="I466" s="17" t="str">
        <f t="shared" ca="1" si="15"/>
        <v>90+ Days</v>
      </c>
    </row>
    <row r="467" spans="1:9">
      <c r="A467">
        <v>825</v>
      </c>
      <c r="B467" t="s">
        <v>48</v>
      </c>
      <c r="C467" s="16">
        <v>45964</v>
      </c>
      <c r="D467">
        <v>900</v>
      </c>
      <c r="F467" t="s">
        <v>1</v>
      </c>
      <c r="H467" s="17">
        <f t="shared" ca="1" si="14"/>
        <v>46174</v>
      </c>
      <c r="I467" s="17" t="str">
        <f t="shared" ca="1" si="15"/>
        <v>90+ Days</v>
      </c>
    </row>
    <row r="468" spans="1:9">
      <c r="A468">
        <v>826</v>
      </c>
      <c r="B468" t="s">
        <v>48</v>
      </c>
      <c r="C468" s="16">
        <v>45964</v>
      </c>
      <c r="D468">
        <v>6604</v>
      </c>
      <c r="F468" t="s">
        <v>1</v>
      </c>
      <c r="H468" s="17">
        <f t="shared" ca="1" si="14"/>
        <v>46174</v>
      </c>
      <c r="I468" s="17" t="str">
        <f t="shared" ca="1" si="15"/>
        <v>90+ Days</v>
      </c>
    </row>
    <row r="469" spans="1:9">
      <c r="A469">
        <v>827</v>
      </c>
      <c r="B469" t="s">
        <v>38</v>
      </c>
      <c r="C469" s="16">
        <v>45964</v>
      </c>
      <c r="D469">
        <v>1129</v>
      </c>
      <c r="F469" t="s">
        <v>1</v>
      </c>
      <c r="H469" s="17">
        <f t="shared" ca="1" si="14"/>
        <v>46174</v>
      </c>
      <c r="I469" s="17" t="str">
        <f t="shared" ca="1" si="15"/>
        <v>90+ Days</v>
      </c>
    </row>
    <row r="470" spans="1:9">
      <c r="A470">
        <v>828</v>
      </c>
      <c r="B470" t="s">
        <v>38</v>
      </c>
      <c r="C470" s="16">
        <v>45964</v>
      </c>
      <c r="D470">
        <v>9870</v>
      </c>
      <c r="F470" t="s">
        <v>1</v>
      </c>
      <c r="H470" s="17">
        <f t="shared" ca="1" si="14"/>
        <v>46174</v>
      </c>
      <c r="I470" s="17" t="str">
        <f t="shared" ca="1" si="15"/>
        <v>90+ Days</v>
      </c>
    </row>
    <row r="471" spans="1:9">
      <c r="A471">
        <v>829</v>
      </c>
      <c r="B471" t="s">
        <v>9</v>
      </c>
      <c r="C471" s="16">
        <v>45964</v>
      </c>
      <c r="D471">
        <v>27300</v>
      </c>
      <c r="F471" t="s">
        <v>1</v>
      </c>
      <c r="H471" s="17">
        <f t="shared" ca="1" si="14"/>
        <v>46174</v>
      </c>
      <c r="I471" s="17" t="str">
        <f t="shared" ca="1" si="15"/>
        <v>90+ Days</v>
      </c>
    </row>
    <row r="472" spans="1:9">
      <c r="A472">
        <v>830</v>
      </c>
      <c r="B472" t="s">
        <v>9</v>
      </c>
      <c r="C472" s="16">
        <v>45964</v>
      </c>
      <c r="D472">
        <v>1232</v>
      </c>
      <c r="F472" t="s">
        <v>1</v>
      </c>
      <c r="H472" s="17">
        <f t="shared" ca="1" si="14"/>
        <v>46174</v>
      </c>
      <c r="I472" s="17" t="str">
        <f t="shared" ca="1" si="15"/>
        <v>90+ Days</v>
      </c>
    </row>
    <row r="473" spans="1:9">
      <c r="A473">
        <v>831</v>
      </c>
      <c r="B473" t="s">
        <v>35</v>
      </c>
      <c r="C473" s="16">
        <v>45964</v>
      </c>
      <c r="D473">
        <v>4943</v>
      </c>
      <c r="F473" t="s">
        <v>27</v>
      </c>
      <c r="H473" s="17">
        <f t="shared" ca="1" si="14"/>
        <v>0</v>
      </c>
      <c r="I473" s="17" t="str">
        <f t="shared" ca="1" si="15"/>
        <v>Not Overdue</v>
      </c>
    </row>
    <row r="474" spans="1:9">
      <c r="A474">
        <v>832</v>
      </c>
      <c r="B474" t="s">
        <v>58</v>
      </c>
      <c r="C474" s="16">
        <v>45965</v>
      </c>
      <c r="D474">
        <v>16393</v>
      </c>
      <c r="F474" t="s">
        <v>1</v>
      </c>
      <c r="H474" s="17">
        <f t="shared" ca="1" si="14"/>
        <v>46174</v>
      </c>
      <c r="I474" s="17" t="str">
        <f t="shared" ca="1" si="15"/>
        <v>90+ Days</v>
      </c>
    </row>
    <row r="475" spans="1:9">
      <c r="A475">
        <v>833</v>
      </c>
      <c r="B475" t="s">
        <v>123</v>
      </c>
      <c r="C475" s="16">
        <v>45965</v>
      </c>
      <c r="D475">
        <v>21163</v>
      </c>
      <c r="F475" t="s">
        <v>1</v>
      </c>
      <c r="H475" s="17">
        <f t="shared" ca="1" si="14"/>
        <v>46174</v>
      </c>
      <c r="I475" s="17" t="str">
        <f t="shared" ca="1" si="15"/>
        <v>90+ Days</v>
      </c>
    </row>
    <row r="476" spans="1:9">
      <c r="A476">
        <v>834</v>
      </c>
      <c r="B476" t="s">
        <v>124</v>
      </c>
      <c r="C476" s="16">
        <v>45965</v>
      </c>
      <c r="D476">
        <v>18502</v>
      </c>
      <c r="F476" t="s">
        <v>27</v>
      </c>
      <c r="H476" s="17">
        <f t="shared" ca="1" si="14"/>
        <v>0</v>
      </c>
      <c r="I476" s="17" t="str">
        <f t="shared" ca="1" si="15"/>
        <v>Not Overdue</v>
      </c>
    </row>
    <row r="477" spans="1:9">
      <c r="A477">
        <v>835</v>
      </c>
      <c r="B477" t="s">
        <v>7</v>
      </c>
      <c r="C477" s="16">
        <v>45965</v>
      </c>
      <c r="D477">
        <v>28875</v>
      </c>
      <c r="F477" t="s">
        <v>1</v>
      </c>
      <c r="H477" s="17">
        <f t="shared" ca="1" si="14"/>
        <v>46174</v>
      </c>
      <c r="I477" s="17" t="str">
        <f t="shared" ca="1" si="15"/>
        <v>90+ Days</v>
      </c>
    </row>
    <row r="478" spans="1:9">
      <c r="A478">
        <v>836</v>
      </c>
      <c r="B478" t="s">
        <v>89</v>
      </c>
      <c r="C478" s="16">
        <v>45966</v>
      </c>
      <c r="D478">
        <v>16695</v>
      </c>
      <c r="F478" t="s">
        <v>1</v>
      </c>
      <c r="G478" s="16">
        <v>45996</v>
      </c>
      <c r="H478" s="17">
        <f t="shared" ca="1" si="14"/>
        <v>178</v>
      </c>
      <c r="I478" s="17" t="str">
        <f t="shared" ca="1" si="15"/>
        <v>90+ Days</v>
      </c>
    </row>
    <row r="479" spans="1:9">
      <c r="A479">
        <v>837</v>
      </c>
      <c r="B479" t="s">
        <v>26</v>
      </c>
      <c r="C479" s="16">
        <v>45966</v>
      </c>
      <c r="D479">
        <v>3706</v>
      </c>
      <c r="F479" t="s">
        <v>1</v>
      </c>
      <c r="G479" s="16">
        <v>45973</v>
      </c>
      <c r="H479" s="17">
        <f t="shared" ca="1" si="14"/>
        <v>201</v>
      </c>
      <c r="I479" s="17" t="str">
        <f t="shared" ca="1" si="15"/>
        <v>90+ Days</v>
      </c>
    </row>
    <row r="480" spans="1:9">
      <c r="A480">
        <v>838</v>
      </c>
      <c r="B480" t="s">
        <v>85</v>
      </c>
      <c r="C480" s="16">
        <v>45967</v>
      </c>
      <c r="D480">
        <v>701</v>
      </c>
      <c r="F480" t="s">
        <v>1</v>
      </c>
      <c r="H480" s="17">
        <f t="shared" ca="1" si="14"/>
        <v>46174</v>
      </c>
      <c r="I480" s="17" t="str">
        <f t="shared" ca="1" si="15"/>
        <v>90+ Days</v>
      </c>
    </row>
    <row r="481" spans="1:9">
      <c r="A481">
        <v>839</v>
      </c>
      <c r="B481" t="s">
        <v>85</v>
      </c>
      <c r="C481" s="16">
        <v>45967</v>
      </c>
      <c r="D481">
        <v>19530</v>
      </c>
      <c r="F481" t="s">
        <v>1</v>
      </c>
      <c r="H481" s="17">
        <f t="shared" ca="1" si="14"/>
        <v>46174</v>
      </c>
      <c r="I481" s="17" t="str">
        <f t="shared" ca="1" si="15"/>
        <v>90+ Days</v>
      </c>
    </row>
    <row r="482" spans="1:9">
      <c r="A482">
        <v>840</v>
      </c>
      <c r="B482" t="s">
        <v>16</v>
      </c>
      <c r="C482" s="16">
        <v>45967</v>
      </c>
      <c r="D482">
        <v>10290</v>
      </c>
      <c r="F482" t="s">
        <v>1</v>
      </c>
      <c r="H482" s="17">
        <f t="shared" ca="1" si="14"/>
        <v>46174</v>
      </c>
      <c r="I482" s="17" t="str">
        <f t="shared" ca="1" si="15"/>
        <v>90+ Days</v>
      </c>
    </row>
    <row r="483" spans="1:9">
      <c r="A483">
        <v>841</v>
      </c>
      <c r="B483" t="s">
        <v>16</v>
      </c>
      <c r="C483" s="16">
        <v>45967</v>
      </c>
      <c r="D483">
        <v>5513</v>
      </c>
      <c r="F483" t="s">
        <v>1</v>
      </c>
      <c r="H483" s="17">
        <f t="shared" ca="1" si="14"/>
        <v>46174</v>
      </c>
      <c r="I483" s="17" t="str">
        <f t="shared" ca="1" si="15"/>
        <v>90+ Days</v>
      </c>
    </row>
    <row r="484" spans="1:9">
      <c r="A484">
        <v>842</v>
      </c>
      <c r="B484" t="s">
        <v>15</v>
      </c>
      <c r="C484" s="16">
        <v>45967</v>
      </c>
      <c r="D484">
        <v>4673</v>
      </c>
      <c r="F484" t="s">
        <v>1</v>
      </c>
      <c r="H484" s="17">
        <f t="shared" ca="1" si="14"/>
        <v>46174</v>
      </c>
      <c r="I484" s="17" t="str">
        <f t="shared" ca="1" si="15"/>
        <v>90+ Days</v>
      </c>
    </row>
    <row r="485" spans="1:9">
      <c r="A485">
        <v>843</v>
      </c>
      <c r="B485" t="s">
        <v>15</v>
      </c>
      <c r="C485" s="16">
        <v>45967</v>
      </c>
      <c r="D485">
        <v>10080</v>
      </c>
      <c r="F485" t="s">
        <v>1</v>
      </c>
      <c r="H485" s="17">
        <f t="shared" ca="1" si="14"/>
        <v>46174</v>
      </c>
      <c r="I485" s="17" t="str">
        <f t="shared" ca="1" si="15"/>
        <v>90+ Days</v>
      </c>
    </row>
    <row r="486" spans="1:9">
      <c r="A486">
        <v>844</v>
      </c>
      <c r="B486" t="s">
        <v>67</v>
      </c>
      <c r="C486" s="16">
        <v>45967</v>
      </c>
      <c r="D486">
        <v>2573</v>
      </c>
      <c r="F486" t="s">
        <v>1</v>
      </c>
      <c r="H486" s="17">
        <f t="shared" ca="1" si="14"/>
        <v>46174</v>
      </c>
      <c r="I486" s="17" t="str">
        <f t="shared" ca="1" si="15"/>
        <v>90+ Days</v>
      </c>
    </row>
    <row r="487" spans="1:9">
      <c r="A487">
        <v>845</v>
      </c>
      <c r="B487" t="s">
        <v>125</v>
      </c>
      <c r="C487" s="16">
        <v>45967</v>
      </c>
      <c r="D487">
        <v>19446</v>
      </c>
      <c r="F487" t="s">
        <v>27</v>
      </c>
      <c r="H487" s="17">
        <f t="shared" ca="1" si="14"/>
        <v>0</v>
      </c>
      <c r="I487" s="17" t="str">
        <f t="shared" ca="1" si="15"/>
        <v>Not Overdue</v>
      </c>
    </row>
    <row r="488" spans="1:9">
      <c r="A488">
        <v>846</v>
      </c>
      <c r="B488" t="s">
        <v>44</v>
      </c>
      <c r="C488" s="16">
        <v>45968</v>
      </c>
      <c r="D488">
        <v>3602</v>
      </c>
      <c r="F488" t="s">
        <v>1</v>
      </c>
      <c r="H488" s="17">
        <f t="shared" ca="1" si="14"/>
        <v>46174</v>
      </c>
      <c r="I488" s="17" t="str">
        <f t="shared" ca="1" si="15"/>
        <v>90+ Days</v>
      </c>
    </row>
    <row r="489" spans="1:9">
      <c r="A489">
        <v>847</v>
      </c>
      <c r="B489" t="s">
        <v>44</v>
      </c>
      <c r="C489" s="16">
        <v>45968</v>
      </c>
      <c r="D489">
        <v>3808</v>
      </c>
      <c r="F489" t="s">
        <v>1</v>
      </c>
      <c r="H489" s="17">
        <f t="shared" ca="1" si="14"/>
        <v>46174</v>
      </c>
      <c r="I489" s="17" t="str">
        <f t="shared" ca="1" si="15"/>
        <v>90+ Days</v>
      </c>
    </row>
    <row r="490" spans="1:9">
      <c r="A490">
        <v>848</v>
      </c>
      <c r="B490" t="s">
        <v>47</v>
      </c>
      <c r="C490" s="16">
        <v>45968</v>
      </c>
      <c r="D490">
        <v>3647</v>
      </c>
      <c r="F490" t="s">
        <v>1</v>
      </c>
      <c r="H490" s="17">
        <f t="shared" ca="1" si="14"/>
        <v>46174</v>
      </c>
      <c r="I490" s="17" t="str">
        <f t="shared" ca="1" si="15"/>
        <v>90+ Days</v>
      </c>
    </row>
    <row r="491" spans="1:9">
      <c r="A491">
        <v>849</v>
      </c>
      <c r="B491" t="s">
        <v>88</v>
      </c>
      <c r="C491" s="16">
        <v>45968</v>
      </c>
      <c r="D491">
        <v>5502</v>
      </c>
      <c r="F491" t="s">
        <v>1</v>
      </c>
      <c r="H491" s="17">
        <f t="shared" ca="1" si="14"/>
        <v>46174</v>
      </c>
      <c r="I491" s="17" t="str">
        <f t="shared" ca="1" si="15"/>
        <v>90+ Days</v>
      </c>
    </row>
    <row r="492" spans="1:9">
      <c r="A492">
        <v>850</v>
      </c>
      <c r="B492" t="s">
        <v>88</v>
      </c>
      <c r="C492" s="16">
        <v>45968</v>
      </c>
      <c r="D492">
        <v>19688</v>
      </c>
      <c r="F492" t="s">
        <v>1</v>
      </c>
      <c r="H492" s="17">
        <f t="shared" ca="1" si="14"/>
        <v>46174</v>
      </c>
      <c r="I492" s="17" t="str">
        <f t="shared" ca="1" si="15"/>
        <v>90+ Days</v>
      </c>
    </row>
    <row r="493" spans="1:9">
      <c r="A493">
        <v>851</v>
      </c>
      <c r="B493" t="s">
        <v>97</v>
      </c>
      <c r="C493" s="16">
        <v>45969</v>
      </c>
      <c r="D493">
        <v>9765</v>
      </c>
      <c r="F493" t="s">
        <v>1</v>
      </c>
      <c r="G493" s="16">
        <v>45999</v>
      </c>
      <c r="H493" s="17">
        <f t="shared" ca="1" si="14"/>
        <v>175</v>
      </c>
      <c r="I493" s="17" t="str">
        <f t="shared" ca="1" si="15"/>
        <v>90+ Days</v>
      </c>
    </row>
    <row r="494" spans="1:9">
      <c r="A494">
        <v>852</v>
      </c>
      <c r="B494" t="s">
        <v>47</v>
      </c>
      <c r="C494" s="16">
        <v>45969</v>
      </c>
      <c r="D494">
        <v>5015</v>
      </c>
      <c r="F494" t="s">
        <v>1</v>
      </c>
      <c r="G494" s="16">
        <v>45999</v>
      </c>
      <c r="H494" s="17">
        <f t="shared" ca="1" si="14"/>
        <v>175</v>
      </c>
      <c r="I494" s="17" t="str">
        <f t="shared" ca="1" si="15"/>
        <v>90+ Days</v>
      </c>
    </row>
    <row r="495" spans="1:9">
      <c r="A495">
        <v>853</v>
      </c>
      <c r="B495" t="s">
        <v>41</v>
      </c>
      <c r="C495" s="16">
        <v>45969</v>
      </c>
      <c r="D495">
        <v>7363</v>
      </c>
      <c r="F495" t="s">
        <v>1</v>
      </c>
      <c r="G495" s="16">
        <v>45976</v>
      </c>
      <c r="H495" s="17">
        <f t="shared" ca="1" si="14"/>
        <v>198</v>
      </c>
      <c r="I495" s="17" t="str">
        <f t="shared" ca="1" si="15"/>
        <v>90+ Days</v>
      </c>
    </row>
    <row r="496" spans="1:9">
      <c r="A496">
        <v>854</v>
      </c>
      <c r="B496" t="s">
        <v>41</v>
      </c>
      <c r="C496" s="16">
        <v>45969</v>
      </c>
      <c r="D496">
        <v>5460</v>
      </c>
      <c r="F496" t="s">
        <v>1</v>
      </c>
      <c r="G496" s="16">
        <v>45976</v>
      </c>
      <c r="H496" s="17">
        <f t="shared" ca="1" si="14"/>
        <v>198</v>
      </c>
      <c r="I496" s="17" t="str">
        <f t="shared" ca="1" si="15"/>
        <v>90+ Days</v>
      </c>
    </row>
    <row r="497" spans="1:9">
      <c r="A497">
        <v>855</v>
      </c>
      <c r="B497" t="s">
        <v>14</v>
      </c>
      <c r="C497" s="16">
        <v>45969</v>
      </c>
      <c r="D497">
        <v>15120</v>
      </c>
      <c r="F497" t="s">
        <v>1</v>
      </c>
      <c r="G497" s="16">
        <v>45999</v>
      </c>
      <c r="H497" s="17">
        <f t="shared" ca="1" si="14"/>
        <v>175</v>
      </c>
      <c r="I497" s="17" t="str">
        <f t="shared" ca="1" si="15"/>
        <v>90+ Days</v>
      </c>
    </row>
    <row r="498" spans="1:9">
      <c r="A498">
        <v>856</v>
      </c>
      <c r="B498" t="s">
        <v>91</v>
      </c>
      <c r="C498" s="16">
        <v>45971</v>
      </c>
      <c r="D498">
        <v>1974</v>
      </c>
      <c r="F498" t="s">
        <v>27</v>
      </c>
      <c r="H498" s="17">
        <f t="shared" ca="1" si="14"/>
        <v>0</v>
      </c>
      <c r="I498" s="17" t="str">
        <f t="shared" ca="1" si="15"/>
        <v>Not Overdue</v>
      </c>
    </row>
    <row r="499" spans="1:9">
      <c r="A499">
        <v>857</v>
      </c>
      <c r="B499" t="s">
        <v>70</v>
      </c>
      <c r="C499" s="16">
        <v>45972</v>
      </c>
      <c r="D499">
        <v>4679</v>
      </c>
      <c r="F499" t="s">
        <v>27</v>
      </c>
      <c r="H499" s="17">
        <f t="shared" ca="1" si="14"/>
        <v>0</v>
      </c>
      <c r="I499" s="17" t="str">
        <f t="shared" ca="1" si="15"/>
        <v>Not Overdue</v>
      </c>
    </row>
    <row r="500" spans="1:9">
      <c r="A500">
        <v>858</v>
      </c>
      <c r="B500" t="s">
        <v>88</v>
      </c>
      <c r="C500" s="16">
        <v>45972</v>
      </c>
      <c r="D500">
        <v>4411</v>
      </c>
      <c r="F500" t="s">
        <v>1</v>
      </c>
      <c r="H500" s="17">
        <f t="shared" ca="1" si="14"/>
        <v>46174</v>
      </c>
      <c r="I500" s="17" t="str">
        <f t="shared" ca="1" si="15"/>
        <v>90+ Days</v>
      </c>
    </row>
    <row r="501" spans="1:9">
      <c r="A501">
        <v>859</v>
      </c>
      <c r="B501" t="s">
        <v>126</v>
      </c>
      <c r="C501" s="16">
        <v>45972</v>
      </c>
      <c r="D501">
        <v>21307</v>
      </c>
      <c r="F501" t="s">
        <v>1</v>
      </c>
      <c r="H501" s="17">
        <f t="shared" ca="1" si="14"/>
        <v>46174</v>
      </c>
      <c r="I501" s="17" t="str">
        <f t="shared" ca="1" si="15"/>
        <v>90+ Days</v>
      </c>
    </row>
    <row r="502" spans="1:9">
      <c r="A502">
        <v>860</v>
      </c>
      <c r="B502" t="s">
        <v>65</v>
      </c>
      <c r="C502" s="16">
        <v>45972</v>
      </c>
      <c r="D502">
        <v>20160</v>
      </c>
      <c r="F502" t="s">
        <v>1</v>
      </c>
      <c r="H502" s="17">
        <f t="shared" ca="1" si="14"/>
        <v>46174</v>
      </c>
      <c r="I502" s="17" t="str">
        <f t="shared" ca="1" si="15"/>
        <v>90+ Days</v>
      </c>
    </row>
    <row r="503" spans="1:9">
      <c r="A503">
        <v>861</v>
      </c>
      <c r="B503" t="s">
        <v>7</v>
      </c>
      <c r="C503" s="16">
        <v>45973</v>
      </c>
      <c r="D503">
        <v>36968</v>
      </c>
      <c r="F503" t="s">
        <v>1</v>
      </c>
      <c r="G503" s="16">
        <v>46003</v>
      </c>
      <c r="H503" s="17">
        <f t="shared" ca="1" si="14"/>
        <v>171</v>
      </c>
      <c r="I503" s="17" t="str">
        <f t="shared" ca="1" si="15"/>
        <v>90+ Days</v>
      </c>
    </row>
    <row r="504" spans="1:9">
      <c r="A504">
        <v>862</v>
      </c>
      <c r="B504" t="s">
        <v>8</v>
      </c>
      <c r="C504" s="16">
        <v>45973</v>
      </c>
      <c r="D504">
        <v>23102</v>
      </c>
      <c r="F504" t="s">
        <v>1</v>
      </c>
      <c r="G504" s="16">
        <v>46003</v>
      </c>
      <c r="H504" s="17">
        <f t="shared" ca="1" si="14"/>
        <v>171</v>
      </c>
      <c r="I504" s="17" t="str">
        <f t="shared" ca="1" si="15"/>
        <v>90+ Days</v>
      </c>
    </row>
    <row r="505" spans="1:9">
      <c r="A505">
        <v>863</v>
      </c>
      <c r="B505" t="s">
        <v>11</v>
      </c>
      <c r="C505" s="16">
        <v>45973</v>
      </c>
      <c r="D505">
        <v>29378</v>
      </c>
      <c r="F505" t="s">
        <v>1</v>
      </c>
      <c r="G505" s="16">
        <v>46003</v>
      </c>
      <c r="H505" s="17">
        <f t="shared" ca="1" si="14"/>
        <v>171</v>
      </c>
      <c r="I505" s="17" t="str">
        <f t="shared" ca="1" si="15"/>
        <v>90+ Days</v>
      </c>
    </row>
    <row r="506" spans="1:9">
      <c r="A506">
        <v>864</v>
      </c>
      <c r="B506" t="s">
        <v>127</v>
      </c>
      <c r="C506" s="16">
        <v>45974</v>
      </c>
      <c r="D506">
        <v>0</v>
      </c>
      <c r="F506" t="s">
        <v>27</v>
      </c>
      <c r="G506" s="16">
        <v>46004</v>
      </c>
      <c r="H506" s="17">
        <f t="shared" ca="1" si="14"/>
        <v>0</v>
      </c>
      <c r="I506" s="17" t="str">
        <f t="shared" ca="1" si="15"/>
        <v>Not Overdue</v>
      </c>
    </row>
    <row r="507" spans="1:9">
      <c r="A507">
        <v>865</v>
      </c>
      <c r="B507" t="s">
        <v>92</v>
      </c>
      <c r="C507" s="16">
        <v>45974</v>
      </c>
      <c r="D507">
        <v>2573</v>
      </c>
      <c r="F507" t="s">
        <v>27</v>
      </c>
      <c r="G507" s="16">
        <v>46004</v>
      </c>
      <c r="H507" s="17">
        <f t="shared" ca="1" si="14"/>
        <v>0</v>
      </c>
      <c r="I507" s="17" t="str">
        <f t="shared" ca="1" si="15"/>
        <v>Not Overdue</v>
      </c>
    </row>
    <row r="508" spans="1:9">
      <c r="A508">
        <v>866</v>
      </c>
      <c r="B508" t="s">
        <v>128</v>
      </c>
      <c r="C508" s="16">
        <v>45974</v>
      </c>
      <c r="D508">
        <v>5303</v>
      </c>
      <c r="F508" t="s">
        <v>27</v>
      </c>
      <c r="G508" s="16">
        <v>46004</v>
      </c>
      <c r="H508" s="17">
        <f t="shared" ca="1" si="14"/>
        <v>0</v>
      </c>
      <c r="I508" s="17" t="str">
        <f t="shared" ca="1" si="15"/>
        <v>Not Overdue</v>
      </c>
    </row>
    <row r="509" spans="1:9">
      <c r="A509">
        <v>867</v>
      </c>
      <c r="B509" t="s">
        <v>9</v>
      </c>
      <c r="C509" s="16">
        <v>45974</v>
      </c>
      <c r="D509">
        <v>19740</v>
      </c>
      <c r="F509" t="s">
        <v>1</v>
      </c>
      <c r="G509" s="16">
        <v>46004</v>
      </c>
      <c r="H509" s="17">
        <f t="shared" ca="1" si="14"/>
        <v>170</v>
      </c>
      <c r="I509" s="17" t="str">
        <f t="shared" ca="1" si="15"/>
        <v>90+ Days</v>
      </c>
    </row>
    <row r="510" spans="1:9">
      <c r="A510">
        <v>868</v>
      </c>
      <c r="B510" t="s">
        <v>41</v>
      </c>
      <c r="C510" s="16">
        <v>45974</v>
      </c>
      <c r="D510">
        <v>4614</v>
      </c>
      <c r="F510" t="s">
        <v>1</v>
      </c>
      <c r="G510" s="16">
        <v>45981</v>
      </c>
      <c r="H510" s="17">
        <f t="shared" ca="1" si="14"/>
        <v>193</v>
      </c>
      <c r="I510" s="17" t="str">
        <f t="shared" ca="1" si="15"/>
        <v>90+ Days</v>
      </c>
    </row>
    <row r="511" spans="1:9">
      <c r="A511">
        <v>869</v>
      </c>
      <c r="B511" t="s">
        <v>127</v>
      </c>
      <c r="C511" s="16">
        <v>45975</v>
      </c>
      <c r="D511">
        <v>0</v>
      </c>
      <c r="F511" t="s">
        <v>27</v>
      </c>
      <c r="G511" s="16">
        <v>46005</v>
      </c>
      <c r="H511" s="17">
        <f t="shared" ca="1" si="14"/>
        <v>0</v>
      </c>
      <c r="I511" s="17" t="str">
        <f t="shared" ca="1" si="15"/>
        <v>Not Overdue</v>
      </c>
    </row>
    <row r="512" spans="1:9">
      <c r="A512">
        <v>870</v>
      </c>
      <c r="B512" t="s">
        <v>88</v>
      </c>
      <c r="C512" s="16">
        <v>45975</v>
      </c>
      <c r="D512">
        <v>2993</v>
      </c>
      <c r="F512" t="s">
        <v>1</v>
      </c>
      <c r="G512" s="16">
        <v>46005</v>
      </c>
      <c r="H512" s="17">
        <f t="shared" ca="1" si="14"/>
        <v>169</v>
      </c>
      <c r="I512" s="17" t="str">
        <f t="shared" ca="1" si="15"/>
        <v>90+ Days</v>
      </c>
    </row>
    <row r="513" spans="1:9">
      <c r="A513">
        <v>871</v>
      </c>
      <c r="B513" t="s">
        <v>84</v>
      </c>
      <c r="C513" s="16">
        <v>45975</v>
      </c>
      <c r="D513">
        <v>1637</v>
      </c>
      <c r="F513" t="s">
        <v>1</v>
      </c>
      <c r="H513" s="17">
        <f t="shared" ca="1" si="14"/>
        <v>46174</v>
      </c>
      <c r="I513" s="17" t="str">
        <f t="shared" ca="1" si="15"/>
        <v>90+ Days</v>
      </c>
    </row>
    <row r="514" spans="1:9">
      <c r="A514">
        <v>872</v>
      </c>
      <c r="B514" t="s">
        <v>54</v>
      </c>
      <c r="C514" s="16">
        <v>45975</v>
      </c>
      <c r="D514">
        <v>4027</v>
      </c>
      <c r="F514" t="s">
        <v>1</v>
      </c>
      <c r="H514" s="17">
        <f t="shared" ref="H514:H577" ca="1" si="16">IF(F514="Closed", 0, IF(TODAY()&gt;G514, TODAY()-G514, 0))</f>
        <v>46174</v>
      </c>
      <c r="I514" s="17" t="str">
        <f t="shared" ref="I514:I577" ca="1" si="17">IF(H514=0, "Not Overdue", IF(H514&lt;=30, "1-30 Days", IF(H514&lt;=60, "31-60 Days", IF(H514&lt;=90, "61-90 Days", "90+ Days"))))</f>
        <v>90+ Days</v>
      </c>
    </row>
    <row r="515" spans="1:9">
      <c r="A515">
        <v>873</v>
      </c>
      <c r="B515" t="s">
        <v>54</v>
      </c>
      <c r="C515" s="16">
        <v>45975</v>
      </c>
      <c r="D515">
        <v>4830</v>
      </c>
      <c r="F515" t="s">
        <v>1</v>
      </c>
      <c r="H515" s="17">
        <f t="shared" ca="1" si="16"/>
        <v>46174</v>
      </c>
      <c r="I515" s="17" t="str">
        <f t="shared" ca="1" si="17"/>
        <v>90+ Days</v>
      </c>
    </row>
    <row r="516" spans="1:9">
      <c r="A516">
        <v>874</v>
      </c>
      <c r="B516" t="s">
        <v>91</v>
      </c>
      <c r="C516" s="16">
        <v>45975</v>
      </c>
      <c r="D516">
        <v>3948</v>
      </c>
      <c r="F516" t="s">
        <v>27</v>
      </c>
      <c r="H516" s="17">
        <f t="shared" ca="1" si="16"/>
        <v>0</v>
      </c>
      <c r="I516" s="17" t="str">
        <f t="shared" ca="1" si="17"/>
        <v>Not Overdue</v>
      </c>
    </row>
    <row r="517" spans="1:9">
      <c r="A517">
        <v>875</v>
      </c>
      <c r="B517" t="s">
        <v>28</v>
      </c>
      <c r="C517" s="16">
        <v>45975</v>
      </c>
      <c r="D517">
        <v>9567</v>
      </c>
      <c r="F517" t="s">
        <v>1</v>
      </c>
      <c r="H517" s="17">
        <f t="shared" ca="1" si="16"/>
        <v>46174</v>
      </c>
      <c r="I517" s="17" t="str">
        <f t="shared" ca="1" si="17"/>
        <v>90+ Days</v>
      </c>
    </row>
    <row r="518" spans="1:9">
      <c r="A518">
        <v>876</v>
      </c>
      <c r="B518" t="s">
        <v>10</v>
      </c>
      <c r="C518" s="16">
        <v>45975</v>
      </c>
      <c r="D518">
        <v>19743</v>
      </c>
      <c r="F518" t="s">
        <v>1</v>
      </c>
      <c r="H518" s="17">
        <f t="shared" ca="1" si="16"/>
        <v>46174</v>
      </c>
      <c r="I518" s="17" t="str">
        <f t="shared" ca="1" si="17"/>
        <v>90+ Days</v>
      </c>
    </row>
    <row r="519" spans="1:9">
      <c r="A519">
        <v>877</v>
      </c>
      <c r="B519" t="s">
        <v>8</v>
      </c>
      <c r="C519" s="16">
        <v>45975</v>
      </c>
      <c r="D519">
        <v>74405</v>
      </c>
      <c r="F519" t="s">
        <v>1</v>
      </c>
      <c r="H519" s="17">
        <f t="shared" ca="1" si="16"/>
        <v>46174</v>
      </c>
      <c r="I519" s="17" t="str">
        <f t="shared" ca="1" si="17"/>
        <v>90+ Days</v>
      </c>
    </row>
    <row r="520" spans="1:9">
      <c r="A520">
        <v>878</v>
      </c>
      <c r="B520" t="s">
        <v>39</v>
      </c>
      <c r="C520" s="16">
        <v>45978</v>
      </c>
      <c r="D520">
        <v>7560</v>
      </c>
      <c r="F520" t="s">
        <v>1</v>
      </c>
      <c r="G520" s="16">
        <v>46008</v>
      </c>
      <c r="H520" s="17">
        <f t="shared" ca="1" si="16"/>
        <v>166</v>
      </c>
      <c r="I520" s="17" t="str">
        <f t="shared" ca="1" si="17"/>
        <v>90+ Days</v>
      </c>
    </row>
    <row r="521" spans="1:9">
      <c r="A521">
        <v>879</v>
      </c>
      <c r="B521" t="s">
        <v>39</v>
      </c>
      <c r="C521" s="16">
        <v>45978</v>
      </c>
      <c r="D521">
        <v>18266</v>
      </c>
      <c r="F521" t="s">
        <v>1</v>
      </c>
      <c r="G521" s="16">
        <v>46008</v>
      </c>
      <c r="H521" s="17">
        <f t="shared" ca="1" si="16"/>
        <v>166</v>
      </c>
      <c r="I521" s="17" t="str">
        <f t="shared" ca="1" si="17"/>
        <v>90+ Days</v>
      </c>
    </row>
    <row r="522" spans="1:9">
      <c r="A522">
        <v>880</v>
      </c>
      <c r="B522" t="s">
        <v>121</v>
      </c>
      <c r="C522" s="16">
        <v>45979</v>
      </c>
      <c r="D522">
        <v>26080</v>
      </c>
      <c r="F522" t="s">
        <v>1</v>
      </c>
      <c r="H522" s="17">
        <f t="shared" ca="1" si="16"/>
        <v>46174</v>
      </c>
      <c r="I522" s="17" t="str">
        <f t="shared" ca="1" si="17"/>
        <v>90+ Days</v>
      </c>
    </row>
    <row r="523" spans="1:9">
      <c r="A523">
        <v>881</v>
      </c>
      <c r="B523" t="s">
        <v>84</v>
      </c>
      <c r="C523" s="16">
        <v>45979</v>
      </c>
      <c r="D523">
        <v>16013</v>
      </c>
      <c r="F523" t="s">
        <v>1</v>
      </c>
      <c r="H523" s="17">
        <f t="shared" ca="1" si="16"/>
        <v>46174</v>
      </c>
      <c r="I523" s="17" t="str">
        <f t="shared" ca="1" si="17"/>
        <v>90+ Days</v>
      </c>
    </row>
    <row r="524" spans="1:9">
      <c r="A524">
        <v>882</v>
      </c>
      <c r="B524" t="s">
        <v>80</v>
      </c>
      <c r="C524" s="16">
        <v>45979</v>
      </c>
      <c r="D524">
        <v>9870</v>
      </c>
      <c r="F524" t="s">
        <v>1</v>
      </c>
      <c r="H524" s="17">
        <f t="shared" ca="1" si="16"/>
        <v>46174</v>
      </c>
      <c r="I524" s="17" t="str">
        <f t="shared" ca="1" si="17"/>
        <v>90+ Days</v>
      </c>
    </row>
    <row r="525" spans="1:9">
      <c r="A525">
        <v>883</v>
      </c>
      <c r="B525" t="s">
        <v>63</v>
      </c>
      <c r="C525" s="16">
        <v>45979</v>
      </c>
      <c r="D525">
        <v>10080</v>
      </c>
      <c r="F525" t="s">
        <v>27</v>
      </c>
      <c r="H525" s="17">
        <f t="shared" ca="1" si="16"/>
        <v>0</v>
      </c>
      <c r="I525" s="17" t="str">
        <f t="shared" ca="1" si="17"/>
        <v>Not Overdue</v>
      </c>
    </row>
    <row r="526" spans="1:9">
      <c r="A526">
        <v>884</v>
      </c>
      <c r="B526" t="s">
        <v>32</v>
      </c>
      <c r="C526" s="16">
        <v>45979</v>
      </c>
      <c r="D526">
        <v>4116</v>
      </c>
      <c r="F526" t="s">
        <v>1</v>
      </c>
      <c r="H526" s="17">
        <f t="shared" ca="1" si="16"/>
        <v>46174</v>
      </c>
      <c r="I526" s="17" t="str">
        <f t="shared" ca="1" si="17"/>
        <v>90+ Days</v>
      </c>
    </row>
    <row r="527" spans="1:9">
      <c r="A527">
        <v>885</v>
      </c>
      <c r="B527" t="s">
        <v>28</v>
      </c>
      <c r="C527" s="16">
        <v>45979</v>
      </c>
      <c r="D527">
        <v>14044</v>
      </c>
      <c r="F527" t="s">
        <v>1</v>
      </c>
      <c r="H527" s="17">
        <f t="shared" ca="1" si="16"/>
        <v>46174</v>
      </c>
      <c r="I527" s="17" t="str">
        <f t="shared" ca="1" si="17"/>
        <v>90+ Days</v>
      </c>
    </row>
    <row r="528" spans="1:9">
      <c r="A528">
        <v>886</v>
      </c>
      <c r="B528" t="s">
        <v>12</v>
      </c>
      <c r="C528" s="16">
        <v>45979</v>
      </c>
      <c r="D528">
        <v>9576</v>
      </c>
      <c r="F528" t="s">
        <v>1</v>
      </c>
      <c r="H528" s="17">
        <f t="shared" ca="1" si="16"/>
        <v>46174</v>
      </c>
      <c r="I528" s="17" t="str">
        <f t="shared" ca="1" si="17"/>
        <v>90+ Days</v>
      </c>
    </row>
    <row r="529" spans="1:9">
      <c r="A529">
        <v>887</v>
      </c>
      <c r="B529" t="s">
        <v>53</v>
      </c>
      <c r="C529" s="16">
        <v>45979</v>
      </c>
      <c r="D529">
        <v>5039</v>
      </c>
      <c r="F529" t="s">
        <v>1</v>
      </c>
      <c r="H529" s="17">
        <f t="shared" ca="1" si="16"/>
        <v>46174</v>
      </c>
      <c r="I529" s="17" t="str">
        <f t="shared" ca="1" si="17"/>
        <v>90+ Days</v>
      </c>
    </row>
    <row r="530" spans="1:9">
      <c r="A530">
        <v>888</v>
      </c>
      <c r="B530" t="s">
        <v>33</v>
      </c>
      <c r="C530" s="16">
        <v>45981</v>
      </c>
      <c r="D530">
        <v>7338</v>
      </c>
      <c r="F530" t="s">
        <v>1</v>
      </c>
      <c r="H530" s="17">
        <f t="shared" ca="1" si="16"/>
        <v>46174</v>
      </c>
      <c r="I530" s="17" t="str">
        <f t="shared" ca="1" si="17"/>
        <v>90+ Days</v>
      </c>
    </row>
    <row r="531" spans="1:9">
      <c r="A531">
        <v>889</v>
      </c>
      <c r="B531" t="s">
        <v>69</v>
      </c>
      <c r="C531" s="16">
        <v>45981</v>
      </c>
      <c r="D531">
        <v>7447</v>
      </c>
      <c r="F531" t="s">
        <v>1</v>
      </c>
      <c r="H531" s="17">
        <f t="shared" ca="1" si="16"/>
        <v>46174</v>
      </c>
      <c r="I531" s="17" t="str">
        <f t="shared" ca="1" si="17"/>
        <v>90+ Days</v>
      </c>
    </row>
    <row r="532" spans="1:9">
      <c r="A532">
        <v>890</v>
      </c>
      <c r="B532" t="s">
        <v>16</v>
      </c>
      <c r="C532" s="16">
        <v>45981</v>
      </c>
      <c r="D532">
        <v>5458</v>
      </c>
      <c r="F532" t="s">
        <v>1</v>
      </c>
      <c r="H532" s="17">
        <f t="shared" ca="1" si="16"/>
        <v>46174</v>
      </c>
      <c r="I532" s="17" t="str">
        <f t="shared" ca="1" si="17"/>
        <v>90+ Days</v>
      </c>
    </row>
    <row r="533" spans="1:9">
      <c r="A533">
        <v>891</v>
      </c>
      <c r="B533" t="s">
        <v>45</v>
      </c>
      <c r="C533" s="16">
        <v>45981</v>
      </c>
      <c r="D533">
        <v>19320</v>
      </c>
      <c r="F533" t="s">
        <v>1</v>
      </c>
      <c r="H533" s="17">
        <f t="shared" ca="1" si="16"/>
        <v>46174</v>
      </c>
      <c r="I533" s="17" t="str">
        <f t="shared" ca="1" si="17"/>
        <v>90+ Days</v>
      </c>
    </row>
    <row r="534" spans="1:9">
      <c r="A534">
        <v>892</v>
      </c>
      <c r="B534" t="s">
        <v>44</v>
      </c>
      <c r="C534" s="16">
        <v>45981</v>
      </c>
      <c r="D534">
        <v>5145</v>
      </c>
      <c r="F534" t="s">
        <v>1</v>
      </c>
      <c r="H534" s="17">
        <f t="shared" ca="1" si="16"/>
        <v>46174</v>
      </c>
      <c r="I534" s="17" t="str">
        <f t="shared" ca="1" si="17"/>
        <v>90+ Days</v>
      </c>
    </row>
    <row r="535" spans="1:9">
      <c r="A535">
        <v>893</v>
      </c>
      <c r="B535" t="s">
        <v>66</v>
      </c>
      <c r="C535" s="16">
        <v>45981</v>
      </c>
      <c r="D535">
        <v>9831</v>
      </c>
      <c r="F535" t="s">
        <v>1</v>
      </c>
      <c r="H535" s="17">
        <f t="shared" ca="1" si="16"/>
        <v>46174</v>
      </c>
      <c r="I535" s="17" t="str">
        <f t="shared" ca="1" si="17"/>
        <v>90+ Days</v>
      </c>
    </row>
    <row r="536" spans="1:9">
      <c r="A536">
        <v>894</v>
      </c>
      <c r="B536" t="s">
        <v>101</v>
      </c>
      <c r="C536" s="16">
        <v>45981</v>
      </c>
      <c r="D536">
        <v>9870</v>
      </c>
      <c r="F536" t="s">
        <v>1</v>
      </c>
      <c r="H536" s="17">
        <f t="shared" ca="1" si="16"/>
        <v>46174</v>
      </c>
      <c r="I536" s="17" t="str">
        <f t="shared" ca="1" si="17"/>
        <v>90+ Days</v>
      </c>
    </row>
    <row r="537" spans="1:9">
      <c r="A537">
        <v>895</v>
      </c>
      <c r="B537" t="s">
        <v>50</v>
      </c>
      <c r="C537" s="16">
        <v>45981</v>
      </c>
      <c r="D537">
        <v>10290</v>
      </c>
      <c r="F537" t="s">
        <v>1</v>
      </c>
      <c r="H537" s="17">
        <f t="shared" ca="1" si="16"/>
        <v>46174</v>
      </c>
      <c r="I537" s="17" t="str">
        <f t="shared" ca="1" si="17"/>
        <v>90+ Days</v>
      </c>
    </row>
    <row r="538" spans="1:9">
      <c r="A538">
        <v>896</v>
      </c>
      <c r="B538" t="s">
        <v>50</v>
      </c>
      <c r="C538" s="16">
        <v>45981</v>
      </c>
      <c r="D538">
        <v>19318</v>
      </c>
      <c r="F538" t="s">
        <v>1</v>
      </c>
      <c r="H538" s="17">
        <f t="shared" ca="1" si="16"/>
        <v>46174</v>
      </c>
      <c r="I538" s="17" t="str">
        <f t="shared" ca="1" si="17"/>
        <v>90+ Days</v>
      </c>
    </row>
    <row r="539" spans="1:9">
      <c r="A539">
        <v>897</v>
      </c>
      <c r="B539" t="s">
        <v>34</v>
      </c>
      <c r="C539" s="16">
        <v>45981</v>
      </c>
      <c r="D539">
        <v>18160</v>
      </c>
      <c r="F539" t="s">
        <v>1</v>
      </c>
      <c r="H539" s="17">
        <f t="shared" ca="1" si="16"/>
        <v>46174</v>
      </c>
      <c r="I539" s="17" t="str">
        <f t="shared" ca="1" si="17"/>
        <v>90+ Days</v>
      </c>
    </row>
    <row r="540" spans="1:9">
      <c r="A540">
        <v>898</v>
      </c>
      <c r="B540" t="s">
        <v>29</v>
      </c>
      <c r="C540" s="16">
        <v>45982</v>
      </c>
      <c r="D540">
        <v>9777</v>
      </c>
      <c r="F540" t="s">
        <v>1</v>
      </c>
      <c r="G540" s="16">
        <v>45989</v>
      </c>
      <c r="H540" s="17">
        <f t="shared" ca="1" si="16"/>
        <v>185</v>
      </c>
      <c r="I540" s="17" t="str">
        <f t="shared" ca="1" si="17"/>
        <v>90+ Days</v>
      </c>
    </row>
    <row r="541" spans="1:9">
      <c r="A541">
        <v>899</v>
      </c>
      <c r="B541" t="s">
        <v>29</v>
      </c>
      <c r="C541" s="16">
        <v>45982</v>
      </c>
      <c r="D541">
        <v>5544</v>
      </c>
      <c r="F541" t="s">
        <v>1</v>
      </c>
      <c r="G541" s="16">
        <v>45989</v>
      </c>
      <c r="H541" s="17">
        <f t="shared" ca="1" si="16"/>
        <v>185</v>
      </c>
      <c r="I541" s="17" t="str">
        <f t="shared" ca="1" si="17"/>
        <v>90+ Days</v>
      </c>
    </row>
    <row r="542" spans="1:9">
      <c r="A542">
        <v>900</v>
      </c>
      <c r="B542" t="s">
        <v>40</v>
      </c>
      <c r="C542" s="16">
        <v>45982</v>
      </c>
      <c r="D542">
        <v>10080</v>
      </c>
      <c r="F542" t="s">
        <v>1</v>
      </c>
      <c r="G542" s="16">
        <v>46012</v>
      </c>
      <c r="H542" s="17">
        <f t="shared" ca="1" si="16"/>
        <v>162</v>
      </c>
      <c r="I542" s="17" t="str">
        <f t="shared" ca="1" si="17"/>
        <v>90+ Days</v>
      </c>
    </row>
    <row r="543" spans="1:9">
      <c r="A543">
        <v>901</v>
      </c>
      <c r="B543" t="s">
        <v>107</v>
      </c>
      <c r="C543" s="16">
        <v>45983</v>
      </c>
      <c r="D543">
        <v>45391</v>
      </c>
      <c r="F543" t="s">
        <v>1</v>
      </c>
      <c r="G543" s="16">
        <v>46013</v>
      </c>
      <c r="H543" s="17">
        <f t="shared" ca="1" si="16"/>
        <v>161</v>
      </c>
      <c r="I543" s="17" t="str">
        <f t="shared" ca="1" si="17"/>
        <v>90+ Days</v>
      </c>
    </row>
    <row r="544" spans="1:9">
      <c r="A544">
        <v>902</v>
      </c>
      <c r="B544" t="s">
        <v>90</v>
      </c>
      <c r="C544" s="16">
        <v>45983</v>
      </c>
      <c r="D544">
        <v>33789</v>
      </c>
      <c r="F544" t="s">
        <v>1</v>
      </c>
      <c r="G544" s="16">
        <v>46013</v>
      </c>
      <c r="H544" s="17">
        <f t="shared" ca="1" si="16"/>
        <v>161</v>
      </c>
      <c r="I544" s="17" t="str">
        <f t="shared" ca="1" si="17"/>
        <v>90+ Days</v>
      </c>
    </row>
    <row r="545" spans="1:9">
      <c r="A545">
        <v>903</v>
      </c>
      <c r="B545" t="s">
        <v>129</v>
      </c>
      <c r="C545" s="16">
        <v>45983</v>
      </c>
      <c r="D545">
        <v>7287</v>
      </c>
      <c r="F545" t="s">
        <v>1</v>
      </c>
      <c r="G545" s="16">
        <v>46013</v>
      </c>
      <c r="H545" s="17">
        <f t="shared" ca="1" si="16"/>
        <v>161</v>
      </c>
      <c r="I545" s="17" t="str">
        <f t="shared" ca="1" si="17"/>
        <v>90+ Days</v>
      </c>
    </row>
    <row r="546" spans="1:9">
      <c r="A546">
        <v>904</v>
      </c>
      <c r="B546" t="s">
        <v>71</v>
      </c>
      <c r="C546" s="16">
        <v>45983</v>
      </c>
      <c r="D546">
        <v>13300</v>
      </c>
      <c r="F546" t="s">
        <v>1</v>
      </c>
      <c r="G546" s="16">
        <v>46013</v>
      </c>
      <c r="H546" s="17">
        <f t="shared" ca="1" si="16"/>
        <v>161</v>
      </c>
      <c r="I546" s="17" t="str">
        <f t="shared" ca="1" si="17"/>
        <v>90+ Days</v>
      </c>
    </row>
    <row r="547" spans="1:9">
      <c r="A547">
        <v>905</v>
      </c>
      <c r="B547" t="s">
        <v>71</v>
      </c>
      <c r="C547" s="16">
        <v>45983</v>
      </c>
      <c r="D547">
        <v>7560</v>
      </c>
      <c r="F547" t="s">
        <v>1</v>
      </c>
      <c r="G547" s="16">
        <v>46013</v>
      </c>
      <c r="H547" s="17">
        <f t="shared" ca="1" si="16"/>
        <v>161</v>
      </c>
      <c r="I547" s="17" t="str">
        <f t="shared" ca="1" si="17"/>
        <v>90+ Days</v>
      </c>
    </row>
    <row r="548" spans="1:9">
      <c r="A548">
        <v>906</v>
      </c>
      <c r="B548" t="s">
        <v>125</v>
      </c>
      <c r="C548" s="16">
        <v>45985</v>
      </c>
      <c r="D548">
        <v>19446</v>
      </c>
      <c r="F548" t="s">
        <v>27</v>
      </c>
      <c r="G548" s="16">
        <v>45992</v>
      </c>
      <c r="H548" s="17">
        <f t="shared" ca="1" si="16"/>
        <v>0</v>
      </c>
      <c r="I548" s="17" t="str">
        <f t="shared" ca="1" si="17"/>
        <v>Not Overdue</v>
      </c>
    </row>
    <row r="549" spans="1:9">
      <c r="A549">
        <v>907</v>
      </c>
      <c r="B549" t="s">
        <v>73</v>
      </c>
      <c r="C549" s="16">
        <v>45985</v>
      </c>
      <c r="D549">
        <v>3637</v>
      </c>
      <c r="F549" t="s">
        <v>1</v>
      </c>
      <c r="G549" s="16">
        <v>46015</v>
      </c>
      <c r="H549" s="17">
        <f t="shared" ca="1" si="16"/>
        <v>159</v>
      </c>
      <c r="I549" s="17" t="str">
        <f t="shared" ca="1" si="17"/>
        <v>90+ Days</v>
      </c>
    </row>
    <row r="550" spans="1:9">
      <c r="A550">
        <v>908</v>
      </c>
      <c r="B550" t="s">
        <v>73</v>
      </c>
      <c r="C550" s="16">
        <v>45985</v>
      </c>
      <c r="D550">
        <v>1029</v>
      </c>
      <c r="F550" t="s">
        <v>1</v>
      </c>
      <c r="G550" s="16">
        <v>46015</v>
      </c>
      <c r="H550" s="17">
        <f t="shared" ca="1" si="16"/>
        <v>159</v>
      </c>
      <c r="I550" s="17" t="str">
        <f t="shared" ca="1" si="17"/>
        <v>90+ Days</v>
      </c>
    </row>
    <row r="551" spans="1:9">
      <c r="A551">
        <v>909</v>
      </c>
      <c r="B551" t="s">
        <v>14</v>
      </c>
      <c r="C551" s="16">
        <v>45985</v>
      </c>
      <c r="D551">
        <v>20160</v>
      </c>
      <c r="F551" t="s">
        <v>1</v>
      </c>
      <c r="G551" s="16">
        <v>46015</v>
      </c>
      <c r="H551" s="17">
        <f t="shared" ca="1" si="16"/>
        <v>159</v>
      </c>
      <c r="I551" s="17" t="str">
        <f t="shared" ca="1" si="17"/>
        <v>90+ Days</v>
      </c>
    </row>
    <row r="552" spans="1:9">
      <c r="A552">
        <v>910</v>
      </c>
      <c r="B552" t="s">
        <v>104</v>
      </c>
      <c r="C552" s="16">
        <v>45985</v>
      </c>
      <c r="D552">
        <v>752</v>
      </c>
      <c r="F552" t="s">
        <v>27</v>
      </c>
      <c r="G552" s="16">
        <v>46015</v>
      </c>
      <c r="H552" s="17">
        <f t="shared" ca="1" si="16"/>
        <v>0</v>
      </c>
      <c r="I552" s="17" t="str">
        <f t="shared" ca="1" si="17"/>
        <v>Not Overdue</v>
      </c>
    </row>
    <row r="553" spans="1:9">
      <c r="A553">
        <v>911</v>
      </c>
      <c r="B553" t="s">
        <v>130</v>
      </c>
      <c r="C553" s="16">
        <v>45986</v>
      </c>
      <c r="D553">
        <v>10080</v>
      </c>
      <c r="F553" t="s">
        <v>27</v>
      </c>
      <c r="G553" s="16">
        <v>46016</v>
      </c>
      <c r="H553" s="17">
        <f t="shared" ca="1" si="16"/>
        <v>0</v>
      </c>
      <c r="I553" s="17" t="str">
        <f t="shared" ca="1" si="17"/>
        <v>Not Overdue</v>
      </c>
    </row>
    <row r="554" spans="1:9">
      <c r="A554">
        <v>912</v>
      </c>
      <c r="B554" t="s">
        <v>88</v>
      </c>
      <c r="C554" s="16">
        <v>45986</v>
      </c>
      <c r="D554">
        <v>7875</v>
      </c>
      <c r="F554" t="s">
        <v>1</v>
      </c>
      <c r="G554" s="16">
        <v>46016</v>
      </c>
      <c r="H554" s="17">
        <f t="shared" ca="1" si="16"/>
        <v>158</v>
      </c>
      <c r="I554" s="17" t="str">
        <f t="shared" ca="1" si="17"/>
        <v>90+ Days</v>
      </c>
    </row>
    <row r="555" spans="1:9">
      <c r="A555">
        <v>913</v>
      </c>
      <c r="B555" t="s">
        <v>76</v>
      </c>
      <c r="C555" s="16">
        <v>45987</v>
      </c>
      <c r="D555">
        <v>10080</v>
      </c>
      <c r="F555" t="s">
        <v>1</v>
      </c>
      <c r="G555" s="16">
        <v>46017</v>
      </c>
      <c r="H555" s="17">
        <f t="shared" ca="1" si="16"/>
        <v>157</v>
      </c>
      <c r="I555" s="17" t="str">
        <f t="shared" ca="1" si="17"/>
        <v>90+ Days</v>
      </c>
    </row>
    <row r="556" spans="1:9">
      <c r="A556">
        <v>914</v>
      </c>
      <c r="B556" t="s">
        <v>76</v>
      </c>
      <c r="C556" s="16">
        <v>45987</v>
      </c>
      <c r="D556">
        <v>14292</v>
      </c>
      <c r="F556" t="s">
        <v>1</v>
      </c>
      <c r="G556" s="16">
        <v>46017</v>
      </c>
      <c r="H556" s="17">
        <f t="shared" ca="1" si="16"/>
        <v>157</v>
      </c>
      <c r="I556" s="17" t="str">
        <f t="shared" ca="1" si="17"/>
        <v>90+ Days</v>
      </c>
    </row>
    <row r="557" spans="1:9">
      <c r="A557">
        <v>915</v>
      </c>
      <c r="B557" t="s">
        <v>98</v>
      </c>
      <c r="C557" s="16">
        <v>45987</v>
      </c>
      <c r="D557">
        <v>15316</v>
      </c>
      <c r="F557" t="s">
        <v>1</v>
      </c>
      <c r="G557" s="16">
        <v>46017</v>
      </c>
      <c r="H557" s="17">
        <f t="shared" ca="1" si="16"/>
        <v>157</v>
      </c>
      <c r="I557" s="17" t="str">
        <f t="shared" ca="1" si="17"/>
        <v>90+ Days</v>
      </c>
    </row>
    <row r="558" spans="1:9">
      <c r="A558">
        <v>916</v>
      </c>
      <c r="B558" t="s">
        <v>96</v>
      </c>
      <c r="C558" s="16">
        <v>45988</v>
      </c>
      <c r="D558">
        <v>10080</v>
      </c>
      <c r="F558" t="s">
        <v>1</v>
      </c>
      <c r="G558" s="16">
        <v>46018</v>
      </c>
      <c r="H558" s="17">
        <f t="shared" ca="1" si="16"/>
        <v>156</v>
      </c>
      <c r="I558" s="17" t="str">
        <f t="shared" ca="1" si="17"/>
        <v>90+ Days</v>
      </c>
    </row>
    <row r="559" spans="1:9">
      <c r="A559">
        <v>917</v>
      </c>
      <c r="B559" t="s">
        <v>62</v>
      </c>
      <c r="C559" s="16">
        <v>45989</v>
      </c>
      <c r="D559">
        <v>4342</v>
      </c>
      <c r="F559" t="s">
        <v>27</v>
      </c>
      <c r="G559" s="16">
        <v>46019</v>
      </c>
      <c r="H559" s="17">
        <f t="shared" ca="1" si="16"/>
        <v>0</v>
      </c>
      <c r="I559" s="17" t="str">
        <f t="shared" ca="1" si="17"/>
        <v>Not Overdue</v>
      </c>
    </row>
    <row r="560" spans="1:9">
      <c r="A560">
        <v>918</v>
      </c>
      <c r="B560" t="s">
        <v>36</v>
      </c>
      <c r="C560" s="16">
        <v>45989</v>
      </c>
      <c r="D560">
        <v>20040</v>
      </c>
      <c r="F560" t="s">
        <v>1</v>
      </c>
      <c r="G560" s="16">
        <v>45996</v>
      </c>
      <c r="H560" s="17">
        <f t="shared" ca="1" si="16"/>
        <v>178</v>
      </c>
      <c r="I560" s="17" t="str">
        <f t="shared" ca="1" si="17"/>
        <v>90+ Days</v>
      </c>
    </row>
    <row r="561" spans="1:9">
      <c r="A561">
        <v>919</v>
      </c>
      <c r="B561" t="s">
        <v>131</v>
      </c>
      <c r="C561" s="16">
        <v>45989</v>
      </c>
      <c r="D561">
        <v>2053</v>
      </c>
      <c r="F561" t="s">
        <v>1</v>
      </c>
      <c r="G561" s="16">
        <v>46019</v>
      </c>
      <c r="H561" s="17">
        <f t="shared" ca="1" si="16"/>
        <v>155</v>
      </c>
      <c r="I561" s="17" t="str">
        <f t="shared" ca="1" si="17"/>
        <v>90+ Days</v>
      </c>
    </row>
    <row r="562" spans="1:9">
      <c r="A562">
        <v>920</v>
      </c>
      <c r="B562" t="s">
        <v>132</v>
      </c>
      <c r="C562" s="16">
        <v>45989</v>
      </c>
      <c r="D562">
        <v>1221</v>
      </c>
      <c r="F562" t="s">
        <v>1</v>
      </c>
      <c r="G562" s="16">
        <v>46019</v>
      </c>
      <c r="H562" s="17">
        <f t="shared" ca="1" si="16"/>
        <v>155</v>
      </c>
      <c r="I562" s="17" t="str">
        <f t="shared" ca="1" si="17"/>
        <v>90+ Days</v>
      </c>
    </row>
    <row r="563" spans="1:9">
      <c r="A563">
        <v>921</v>
      </c>
      <c r="B563" t="s">
        <v>97</v>
      </c>
      <c r="C563" s="16">
        <v>45989</v>
      </c>
      <c r="D563">
        <v>9765</v>
      </c>
      <c r="F563" t="s">
        <v>1</v>
      </c>
      <c r="G563" s="16">
        <v>46019</v>
      </c>
      <c r="H563" s="17">
        <f t="shared" ca="1" si="16"/>
        <v>155</v>
      </c>
      <c r="I563" s="17" t="str">
        <f t="shared" ca="1" si="17"/>
        <v>90+ Days</v>
      </c>
    </row>
    <row r="564" spans="1:9">
      <c r="A564">
        <v>922</v>
      </c>
      <c r="B564" t="s">
        <v>7</v>
      </c>
      <c r="C564" s="16">
        <v>45989</v>
      </c>
      <c r="D564">
        <v>504</v>
      </c>
      <c r="F564" t="s">
        <v>1</v>
      </c>
      <c r="G564" s="16">
        <v>46019</v>
      </c>
      <c r="H564" s="17">
        <f t="shared" ca="1" si="16"/>
        <v>155</v>
      </c>
      <c r="I564" s="17" t="str">
        <f t="shared" ca="1" si="17"/>
        <v>90+ Days</v>
      </c>
    </row>
    <row r="565" spans="1:9">
      <c r="A565">
        <v>923</v>
      </c>
      <c r="B565" t="s">
        <v>118</v>
      </c>
      <c r="C565" s="16">
        <v>45990</v>
      </c>
      <c r="D565">
        <v>9870</v>
      </c>
      <c r="F565" t="s">
        <v>1</v>
      </c>
      <c r="G565" s="16">
        <v>46020</v>
      </c>
      <c r="H565" s="17">
        <f t="shared" ca="1" si="16"/>
        <v>154</v>
      </c>
      <c r="I565" s="17" t="str">
        <f t="shared" ca="1" si="17"/>
        <v>90+ Days</v>
      </c>
    </row>
    <row r="566" spans="1:9">
      <c r="A566">
        <v>924</v>
      </c>
      <c r="B566" t="s">
        <v>133</v>
      </c>
      <c r="C566" s="16">
        <v>45990</v>
      </c>
      <c r="D566">
        <v>9975</v>
      </c>
      <c r="F566" t="s">
        <v>1</v>
      </c>
      <c r="G566" s="16">
        <v>45997</v>
      </c>
      <c r="H566" s="17">
        <f t="shared" ca="1" si="16"/>
        <v>177</v>
      </c>
      <c r="I566" s="17" t="str">
        <f t="shared" ca="1" si="17"/>
        <v>90+ Days</v>
      </c>
    </row>
    <row r="567" spans="1:9">
      <c r="A567">
        <v>925</v>
      </c>
      <c r="B567" t="s">
        <v>109</v>
      </c>
      <c r="C567" s="16">
        <v>45992</v>
      </c>
      <c r="D567">
        <v>5040</v>
      </c>
      <c r="F567" t="s">
        <v>1</v>
      </c>
      <c r="G567" s="16">
        <v>46022</v>
      </c>
      <c r="H567" s="17">
        <f t="shared" ca="1" si="16"/>
        <v>152</v>
      </c>
      <c r="I567" s="17" t="str">
        <f t="shared" ca="1" si="17"/>
        <v>90+ Days</v>
      </c>
    </row>
    <row r="568" spans="1:9">
      <c r="A568">
        <v>926</v>
      </c>
      <c r="B568" t="s">
        <v>109</v>
      </c>
      <c r="C568" s="16">
        <v>45992</v>
      </c>
      <c r="D568">
        <v>9743</v>
      </c>
      <c r="F568" t="s">
        <v>1</v>
      </c>
      <c r="G568" s="16">
        <v>46022</v>
      </c>
      <c r="H568" s="17">
        <f t="shared" ca="1" si="16"/>
        <v>152</v>
      </c>
      <c r="I568" s="17" t="str">
        <f t="shared" ca="1" si="17"/>
        <v>90+ Days</v>
      </c>
    </row>
    <row r="569" spans="1:9">
      <c r="A569">
        <v>927</v>
      </c>
      <c r="B569" t="s">
        <v>16</v>
      </c>
      <c r="C569" s="16">
        <v>45992</v>
      </c>
      <c r="D569">
        <v>11324</v>
      </c>
      <c r="F569" t="s">
        <v>1</v>
      </c>
      <c r="G569" s="16">
        <v>45999</v>
      </c>
      <c r="H569" s="17">
        <f t="shared" ca="1" si="16"/>
        <v>175</v>
      </c>
      <c r="I569" s="17" t="str">
        <f t="shared" ca="1" si="17"/>
        <v>90+ Days</v>
      </c>
    </row>
    <row r="570" spans="1:9">
      <c r="A570">
        <v>928</v>
      </c>
      <c r="B570" t="s">
        <v>16</v>
      </c>
      <c r="C570" s="16">
        <v>45992</v>
      </c>
      <c r="D570">
        <v>10290</v>
      </c>
      <c r="F570" t="s">
        <v>1</v>
      </c>
      <c r="G570" s="16">
        <v>45999</v>
      </c>
      <c r="H570" s="17">
        <f t="shared" ca="1" si="16"/>
        <v>175</v>
      </c>
      <c r="I570" s="17" t="str">
        <f t="shared" ca="1" si="17"/>
        <v>90+ Days</v>
      </c>
    </row>
    <row r="571" spans="1:9">
      <c r="A571">
        <v>929</v>
      </c>
      <c r="B571" t="s">
        <v>91</v>
      </c>
      <c r="C571" s="16">
        <v>45992</v>
      </c>
      <c r="D571">
        <v>10857</v>
      </c>
      <c r="F571" t="s">
        <v>27</v>
      </c>
      <c r="G571" s="16">
        <v>46022</v>
      </c>
      <c r="H571" s="17">
        <f t="shared" ca="1" si="16"/>
        <v>0</v>
      </c>
      <c r="I571" s="17" t="str">
        <f t="shared" ca="1" si="17"/>
        <v>Not Overdue</v>
      </c>
    </row>
    <row r="572" spans="1:9">
      <c r="A572">
        <v>930</v>
      </c>
      <c r="B572" t="s">
        <v>134</v>
      </c>
      <c r="C572" s="16">
        <v>45992</v>
      </c>
      <c r="D572">
        <v>9534</v>
      </c>
      <c r="F572" t="s">
        <v>27</v>
      </c>
      <c r="G572" s="16">
        <v>45999</v>
      </c>
      <c r="H572" s="17">
        <f t="shared" ca="1" si="16"/>
        <v>0</v>
      </c>
      <c r="I572" s="17" t="str">
        <f t="shared" ca="1" si="17"/>
        <v>Not Overdue</v>
      </c>
    </row>
    <row r="573" spans="1:9">
      <c r="A573">
        <v>931</v>
      </c>
      <c r="B573" t="s">
        <v>11</v>
      </c>
      <c r="C573" s="16">
        <v>45993</v>
      </c>
      <c r="D573">
        <v>30040</v>
      </c>
      <c r="F573" t="s">
        <v>1</v>
      </c>
      <c r="H573" s="17">
        <f t="shared" ca="1" si="16"/>
        <v>46174</v>
      </c>
      <c r="I573" s="17" t="str">
        <f t="shared" ca="1" si="17"/>
        <v>90+ Days</v>
      </c>
    </row>
    <row r="574" spans="1:9">
      <c r="A574">
        <v>932</v>
      </c>
      <c r="B574" t="s">
        <v>7</v>
      </c>
      <c r="C574" s="16">
        <v>45993</v>
      </c>
      <c r="D574">
        <v>36902</v>
      </c>
      <c r="F574" t="s">
        <v>1</v>
      </c>
      <c r="H574" s="17">
        <f t="shared" ca="1" si="16"/>
        <v>46174</v>
      </c>
      <c r="I574" s="17" t="str">
        <f t="shared" ca="1" si="17"/>
        <v>90+ Days</v>
      </c>
    </row>
    <row r="575" spans="1:9">
      <c r="A575">
        <v>933</v>
      </c>
      <c r="B575" t="s">
        <v>52</v>
      </c>
      <c r="C575" s="16">
        <v>45993</v>
      </c>
      <c r="D575">
        <v>5112</v>
      </c>
      <c r="F575" t="s">
        <v>1</v>
      </c>
      <c r="H575" s="17">
        <f t="shared" ca="1" si="16"/>
        <v>46174</v>
      </c>
      <c r="I575" s="17" t="str">
        <f t="shared" ca="1" si="17"/>
        <v>90+ Days</v>
      </c>
    </row>
    <row r="576" spans="1:9">
      <c r="A576">
        <v>934</v>
      </c>
      <c r="B576" t="s">
        <v>52</v>
      </c>
      <c r="C576" s="16">
        <v>45993</v>
      </c>
      <c r="D576">
        <v>7718</v>
      </c>
      <c r="F576" t="s">
        <v>1</v>
      </c>
      <c r="H576" s="17">
        <f t="shared" ca="1" si="16"/>
        <v>46174</v>
      </c>
      <c r="I576" s="17" t="str">
        <f t="shared" ca="1" si="17"/>
        <v>90+ Days</v>
      </c>
    </row>
    <row r="577" spans="1:9">
      <c r="A577">
        <v>935</v>
      </c>
      <c r="B577" t="s">
        <v>12</v>
      </c>
      <c r="C577" s="16">
        <v>45994</v>
      </c>
      <c r="D577">
        <v>47880</v>
      </c>
      <c r="F577" t="s">
        <v>1</v>
      </c>
      <c r="H577" s="17">
        <f t="shared" ca="1" si="16"/>
        <v>46174</v>
      </c>
      <c r="I577" s="17" t="str">
        <f t="shared" ca="1" si="17"/>
        <v>90+ Days</v>
      </c>
    </row>
    <row r="578" spans="1:9">
      <c r="A578">
        <v>936</v>
      </c>
      <c r="B578" t="s">
        <v>135</v>
      </c>
      <c r="C578" s="16">
        <v>45994</v>
      </c>
      <c r="D578">
        <v>19740</v>
      </c>
      <c r="F578" t="s">
        <v>27</v>
      </c>
      <c r="H578" s="17">
        <f t="shared" ref="H578:H641" ca="1" si="18">IF(F578="Closed", 0, IF(TODAY()&gt;G578, TODAY()-G578, 0))</f>
        <v>0</v>
      </c>
      <c r="I578" s="17" t="str">
        <f t="shared" ref="I578:I641" ca="1" si="19">IF(H578=0, "Not Overdue", IF(H578&lt;=30, "1-30 Days", IF(H578&lt;=60, "31-60 Days", IF(H578&lt;=90, "61-90 Days", "90+ Days"))))</f>
        <v>Not Overdue</v>
      </c>
    </row>
    <row r="579" spans="1:9">
      <c r="A579">
        <v>937</v>
      </c>
      <c r="B579" t="s">
        <v>68</v>
      </c>
      <c r="C579" s="16">
        <v>45994</v>
      </c>
      <c r="D579">
        <v>20133</v>
      </c>
      <c r="F579" t="s">
        <v>1</v>
      </c>
      <c r="H579" s="17">
        <f t="shared" ca="1" si="18"/>
        <v>46174</v>
      </c>
      <c r="I579" s="17" t="str">
        <f t="shared" ca="1" si="19"/>
        <v>90+ Days</v>
      </c>
    </row>
    <row r="580" spans="1:9">
      <c r="A580">
        <v>938</v>
      </c>
      <c r="B580" t="s">
        <v>7</v>
      </c>
      <c r="C580" s="16">
        <v>45994</v>
      </c>
      <c r="D580">
        <v>3540</v>
      </c>
      <c r="F580" t="s">
        <v>1</v>
      </c>
      <c r="H580" s="17">
        <f t="shared" ca="1" si="18"/>
        <v>46174</v>
      </c>
      <c r="I580" s="17" t="str">
        <f t="shared" ca="1" si="19"/>
        <v>90+ Days</v>
      </c>
    </row>
    <row r="581" spans="1:9">
      <c r="A581">
        <v>939</v>
      </c>
      <c r="B581" t="s">
        <v>9</v>
      </c>
      <c r="C581" s="16">
        <v>45995</v>
      </c>
      <c r="D581">
        <v>20475</v>
      </c>
      <c r="F581" t="s">
        <v>1</v>
      </c>
      <c r="H581" s="17">
        <f t="shared" ca="1" si="18"/>
        <v>46174</v>
      </c>
      <c r="I581" s="17" t="str">
        <f t="shared" ca="1" si="19"/>
        <v>90+ Days</v>
      </c>
    </row>
    <row r="582" spans="1:9">
      <c r="A582">
        <v>940</v>
      </c>
      <c r="B582" t="s">
        <v>38</v>
      </c>
      <c r="C582" s="16">
        <v>45995</v>
      </c>
      <c r="D582">
        <v>2494</v>
      </c>
      <c r="F582" t="s">
        <v>1</v>
      </c>
      <c r="H582" s="17">
        <f t="shared" ca="1" si="18"/>
        <v>46174</v>
      </c>
      <c r="I582" s="17" t="str">
        <f t="shared" ca="1" si="19"/>
        <v>90+ Days</v>
      </c>
    </row>
    <row r="583" spans="1:9">
      <c r="A583">
        <v>941</v>
      </c>
      <c r="B583" t="s">
        <v>33</v>
      </c>
      <c r="C583" s="16">
        <v>45995</v>
      </c>
      <c r="D583">
        <v>3024</v>
      </c>
      <c r="F583" t="s">
        <v>1</v>
      </c>
      <c r="H583" s="17">
        <f t="shared" ca="1" si="18"/>
        <v>46174</v>
      </c>
      <c r="I583" s="17" t="str">
        <f t="shared" ca="1" si="19"/>
        <v>90+ Days</v>
      </c>
    </row>
    <row r="584" spans="1:9">
      <c r="A584">
        <v>942</v>
      </c>
      <c r="B584" t="s">
        <v>33</v>
      </c>
      <c r="C584" s="16">
        <v>45995</v>
      </c>
      <c r="D584">
        <v>10832</v>
      </c>
      <c r="F584" t="s">
        <v>1</v>
      </c>
      <c r="H584" s="17">
        <f t="shared" ca="1" si="18"/>
        <v>46174</v>
      </c>
      <c r="I584" s="17" t="str">
        <f t="shared" ca="1" si="19"/>
        <v>90+ Days</v>
      </c>
    </row>
    <row r="585" spans="1:9">
      <c r="A585">
        <v>943</v>
      </c>
      <c r="B585" t="s">
        <v>32</v>
      </c>
      <c r="C585" s="16">
        <v>45995</v>
      </c>
      <c r="D585">
        <v>13297</v>
      </c>
      <c r="F585" t="s">
        <v>1</v>
      </c>
      <c r="H585" s="17">
        <f t="shared" ca="1" si="18"/>
        <v>46174</v>
      </c>
      <c r="I585" s="17" t="str">
        <f t="shared" ca="1" si="19"/>
        <v>90+ Days</v>
      </c>
    </row>
    <row r="586" spans="1:9">
      <c r="A586">
        <v>944</v>
      </c>
      <c r="B586" t="s">
        <v>83</v>
      </c>
      <c r="C586" s="16">
        <v>45995</v>
      </c>
      <c r="D586">
        <v>5638</v>
      </c>
      <c r="F586" t="s">
        <v>1</v>
      </c>
      <c r="H586" s="17">
        <f t="shared" ca="1" si="18"/>
        <v>46174</v>
      </c>
      <c r="I586" s="17" t="str">
        <f t="shared" ca="1" si="19"/>
        <v>90+ Days</v>
      </c>
    </row>
    <row r="587" spans="1:9">
      <c r="A587">
        <v>945</v>
      </c>
      <c r="B587" t="s">
        <v>51</v>
      </c>
      <c r="C587" s="16">
        <v>45995</v>
      </c>
      <c r="D587">
        <v>9660</v>
      </c>
      <c r="F587" t="s">
        <v>1</v>
      </c>
      <c r="H587" s="17">
        <f t="shared" ca="1" si="18"/>
        <v>46174</v>
      </c>
      <c r="I587" s="17" t="str">
        <f t="shared" ca="1" si="19"/>
        <v>90+ Days</v>
      </c>
    </row>
    <row r="588" spans="1:9">
      <c r="A588">
        <v>946</v>
      </c>
      <c r="B588" t="s">
        <v>81</v>
      </c>
      <c r="C588" s="16">
        <v>45996</v>
      </c>
      <c r="D588">
        <v>6048</v>
      </c>
      <c r="F588" t="s">
        <v>1</v>
      </c>
      <c r="H588" s="17">
        <f t="shared" ca="1" si="18"/>
        <v>46174</v>
      </c>
      <c r="I588" s="17" t="str">
        <f t="shared" ca="1" si="19"/>
        <v>90+ Days</v>
      </c>
    </row>
    <row r="589" spans="1:9">
      <c r="A589">
        <v>947</v>
      </c>
      <c r="B589" t="s">
        <v>14</v>
      </c>
      <c r="C589" s="16">
        <v>45996</v>
      </c>
      <c r="D589">
        <v>10080</v>
      </c>
      <c r="F589" t="s">
        <v>1</v>
      </c>
      <c r="H589" s="17">
        <f t="shared" ca="1" si="18"/>
        <v>46174</v>
      </c>
      <c r="I589" s="17" t="str">
        <f t="shared" ca="1" si="19"/>
        <v>90+ Days</v>
      </c>
    </row>
    <row r="590" spans="1:9">
      <c r="A590">
        <v>948</v>
      </c>
      <c r="B590" t="s">
        <v>10</v>
      </c>
      <c r="C590" s="16">
        <v>45996</v>
      </c>
      <c r="D590">
        <v>25149</v>
      </c>
      <c r="F590" t="s">
        <v>1</v>
      </c>
      <c r="H590" s="17">
        <f t="shared" ca="1" si="18"/>
        <v>46174</v>
      </c>
      <c r="I590" s="17" t="str">
        <f t="shared" ca="1" si="19"/>
        <v>90+ Days</v>
      </c>
    </row>
    <row r="591" spans="1:9">
      <c r="A591">
        <v>949</v>
      </c>
      <c r="B591" t="s">
        <v>54</v>
      </c>
      <c r="C591" s="16">
        <v>45996</v>
      </c>
      <c r="D591">
        <v>3745</v>
      </c>
      <c r="F591" t="s">
        <v>1</v>
      </c>
      <c r="H591" s="17">
        <f t="shared" ca="1" si="18"/>
        <v>46174</v>
      </c>
      <c r="I591" s="17" t="str">
        <f t="shared" ca="1" si="19"/>
        <v>90+ Days</v>
      </c>
    </row>
    <row r="592" spans="1:9">
      <c r="A592">
        <v>950</v>
      </c>
      <c r="B592" t="s">
        <v>54</v>
      </c>
      <c r="C592" s="16">
        <v>45996</v>
      </c>
      <c r="D592">
        <v>4830</v>
      </c>
      <c r="F592" t="s">
        <v>1</v>
      </c>
      <c r="H592" s="17">
        <f t="shared" ca="1" si="18"/>
        <v>46174</v>
      </c>
      <c r="I592" s="17" t="str">
        <f t="shared" ca="1" si="19"/>
        <v>90+ Days</v>
      </c>
    </row>
    <row r="593" spans="1:9">
      <c r="A593">
        <v>951</v>
      </c>
      <c r="B593" t="s">
        <v>67</v>
      </c>
      <c r="C593" s="16">
        <v>45996</v>
      </c>
      <c r="D593">
        <v>2573</v>
      </c>
      <c r="F593" t="s">
        <v>1</v>
      </c>
      <c r="H593" s="17">
        <f t="shared" ca="1" si="18"/>
        <v>46174</v>
      </c>
      <c r="I593" s="17" t="str">
        <f t="shared" ca="1" si="19"/>
        <v>90+ Days</v>
      </c>
    </row>
    <row r="594" spans="1:9">
      <c r="A594">
        <v>952</v>
      </c>
      <c r="B594" t="s">
        <v>62</v>
      </c>
      <c r="C594" s="16">
        <v>45996</v>
      </c>
      <c r="D594">
        <v>3602</v>
      </c>
      <c r="F594" t="s">
        <v>1</v>
      </c>
      <c r="H594" s="17">
        <f t="shared" ca="1" si="18"/>
        <v>46174</v>
      </c>
      <c r="I594" s="17" t="str">
        <f t="shared" ca="1" si="19"/>
        <v>90+ Days</v>
      </c>
    </row>
    <row r="595" spans="1:9">
      <c r="A595">
        <v>953</v>
      </c>
      <c r="B595" t="s">
        <v>75</v>
      </c>
      <c r="C595" s="16">
        <v>45996</v>
      </c>
      <c r="D595">
        <v>10953</v>
      </c>
      <c r="F595" t="s">
        <v>1</v>
      </c>
      <c r="H595" s="17">
        <f t="shared" ca="1" si="18"/>
        <v>46174</v>
      </c>
      <c r="I595" s="17" t="str">
        <f t="shared" ca="1" si="19"/>
        <v>90+ Days</v>
      </c>
    </row>
    <row r="596" spans="1:9">
      <c r="A596">
        <v>954</v>
      </c>
      <c r="B596" t="s">
        <v>37</v>
      </c>
      <c r="C596" s="16">
        <v>45997</v>
      </c>
      <c r="D596">
        <v>10185</v>
      </c>
      <c r="F596" t="s">
        <v>27</v>
      </c>
      <c r="H596" s="17">
        <f t="shared" ca="1" si="18"/>
        <v>0</v>
      </c>
      <c r="I596" s="17" t="str">
        <f t="shared" ca="1" si="19"/>
        <v>Not Overdue</v>
      </c>
    </row>
    <row r="597" spans="1:9">
      <c r="A597">
        <v>955</v>
      </c>
      <c r="B597" t="s">
        <v>25</v>
      </c>
      <c r="C597" s="16">
        <v>46000</v>
      </c>
      <c r="D597">
        <v>19320</v>
      </c>
      <c r="F597" t="s">
        <v>1</v>
      </c>
      <c r="H597" s="17">
        <f t="shared" ca="1" si="18"/>
        <v>46174</v>
      </c>
      <c r="I597" s="17" t="str">
        <f t="shared" ca="1" si="19"/>
        <v>90+ Days</v>
      </c>
    </row>
    <row r="598" spans="1:9">
      <c r="A598">
        <v>956</v>
      </c>
      <c r="B598" t="s">
        <v>44</v>
      </c>
      <c r="C598" s="16">
        <v>46000</v>
      </c>
      <c r="D598">
        <v>3602</v>
      </c>
      <c r="F598" t="s">
        <v>1</v>
      </c>
      <c r="H598" s="17">
        <f t="shared" ca="1" si="18"/>
        <v>46174</v>
      </c>
      <c r="I598" s="17" t="str">
        <f t="shared" ca="1" si="19"/>
        <v>90+ Days</v>
      </c>
    </row>
    <row r="599" spans="1:9">
      <c r="A599">
        <v>957</v>
      </c>
      <c r="B599" t="s">
        <v>44</v>
      </c>
      <c r="C599" s="16">
        <v>46000</v>
      </c>
      <c r="D599">
        <v>3764</v>
      </c>
      <c r="F599" t="s">
        <v>1</v>
      </c>
      <c r="H599" s="17">
        <f t="shared" ca="1" si="18"/>
        <v>46174</v>
      </c>
      <c r="I599" s="17" t="str">
        <f t="shared" ca="1" si="19"/>
        <v>90+ Days</v>
      </c>
    </row>
    <row r="600" spans="1:9">
      <c r="A600">
        <v>958</v>
      </c>
      <c r="B600" t="s">
        <v>116</v>
      </c>
      <c r="C600" s="16">
        <v>46000</v>
      </c>
      <c r="D600">
        <v>5342</v>
      </c>
      <c r="F600" t="s">
        <v>27</v>
      </c>
      <c r="H600" s="17">
        <f t="shared" ca="1" si="18"/>
        <v>0</v>
      </c>
      <c r="I600" s="17" t="str">
        <f t="shared" ca="1" si="19"/>
        <v>Not Overdue</v>
      </c>
    </row>
    <row r="601" spans="1:9">
      <c r="A601">
        <v>959</v>
      </c>
      <c r="B601" t="s">
        <v>53</v>
      </c>
      <c r="C601" s="16">
        <v>46000</v>
      </c>
      <c r="D601">
        <v>9765</v>
      </c>
      <c r="F601" t="s">
        <v>1</v>
      </c>
      <c r="H601" s="17">
        <f t="shared" ca="1" si="18"/>
        <v>46174</v>
      </c>
      <c r="I601" s="17" t="str">
        <f t="shared" ca="1" si="19"/>
        <v>90+ Days</v>
      </c>
    </row>
    <row r="602" spans="1:9">
      <c r="A602">
        <v>960</v>
      </c>
      <c r="B602" t="s">
        <v>88</v>
      </c>
      <c r="C602" s="16">
        <v>46000</v>
      </c>
      <c r="D602">
        <v>2993</v>
      </c>
      <c r="F602" t="s">
        <v>1</v>
      </c>
      <c r="H602" s="17">
        <f t="shared" ca="1" si="18"/>
        <v>46174</v>
      </c>
      <c r="I602" s="17" t="str">
        <f t="shared" ca="1" si="19"/>
        <v>90+ Days</v>
      </c>
    </row>
    <row r="603" spans="1:9">
      <c r="A603">
        <v>961</v>
      </c>
      <c r="B603" t="s">
        <v>88</v>
      </c>
      <c r="C603" s="16">
        <v>46000</v>
      </c>
      <c r="D603">
        <v>4980</v>
      </c>
      <c r="F603" t="s">
        <v>1</v>
      </c>
      <c r="H603" s="17">
        <f t="shared" ca="1" si="18"/>
        <v>46174</v>
      </c>
      <c r="I603" s="17" t="str">
        <f t="shared" ca="1" si="19"/>
        <v>90+ Days</v>
      </c>
    </row>
    <row r="604" spans="1:9">
      <c r="A604">
        <v>962</v>
      </c>
      <c r="B604" t="s">
        <v>88</v>
      </c>
      <c r="C604" s="16">
        <v>46000</v>
      </c>
      <c r="D604">
        <v>13125</v>
      </c>
      <c r="F604" t="s">
        <v>1</v>
      </c>
      <c r="H604" s="17">
        <f t="shared" ca="1" si="18"/>
        <v>46174</v>
      </c>
      <c r="I604" s="17" t="str">
        <f t="shared" ca="1" si="19"/>
        <v>90+ Days</v>
      </c>
    </row>
    <row r="605" spans="1:9">
      <c r="A605">
        <v>963</v>
      </c>
      <c r="B605" t="s">
        <v>136</v>
      </c>
      <c r="C605" s="16">
        <v>46000</v>
      </c>
      <c r="D605">
        <v>48137</v>
      </c>
      <c r="F605" t="s">
        <v>1</v>
      </c>
      <c r="H605" s="17">
        <f t="shared" ca="1" si="18"/>
        <v>46174</v>
      </c>
      <c r="I605" s="17" t="str">
        <f t="shared" ca="1" si="19"/>
        <v>90+ Days</v>
      </c>
    </row>
    <row r="606" spans="1:9">
      <c r="A606">
        <v>964</v>
      </c>
      <c r="B606" t="s">
        <v>121</v>
      </c>
      <c r="C606" s="16">
        <v>46001</v>
      </c>
      <c r="D606">
        <v>26045</v>
      </c>
      <c r="F606" t="s">
        <v>1</v>
      </c>
      <c r="H606" s="17">
        <f t="shared" ca="1" si="18"/>
        <v>46174</v>
      </c>
      <c r="I606" s="17" t="str">
        <f t="shared" ca="1" si="19"/>
        <v>90+ Days</v>
      </c>
    </row>
    <row r="607" spans="1:9">
      <c r="A607">
        <v>965</v>
      </c>
      <c r="B607" t="s">
        <v>43</v>
      </c>
      <c r="C607" s="16">
        <v>46001</v>
      </c>
      <c r="D607">
        <v>6680</v>
      </c>
      <c r="F607" t="s">
        <v>1</v>
      </c>
      <c r="H607" s="17">
        <f t="shared" ca="1" si="18"/>
        <v>46174</v>
      </c>
      <c r="I607" s="17" t="str">
        <f t="shared" ca="1" si="19"/>
        <v>90+ Days</v>
      </c>
    </row>
    <row r="608" spans="1:9">
      <c r="A608">
        <v>966</v>
      </c>
      <c r="B608" t="s">
        <v>15</v>
      </c>
      <c r="C608" s="16">
        <v>46001</v>
      </c>
      <c r="D608">
        <v>7279</v>
      </c>
      <c r="F608" t="s">
        <v>1</v>
      </c>
      <c r="H608" s="17">
        <f t="shared" ca="1" si="18"/>
        <v>46174</v>
      </c>
      <c r="I608" s="17" t="str">
        <f t="shared" ca="1" si="19"/>
        <v>90+ Days</v>
      </c>
    </row>
    <row r="609" spans="1:9">
      <c r="A609">
        <v>967</v>
      </c>
      <c r="B609" t="s">
        <v>15</v>
      </c>
      <c r="C609" s="16">
        <v>46001</v>
      </c>
      <c r="D609">
        <v>10080</v>
      </c>
      <c r="F609" t="s">
        <v>1</v>
      </c>
      <c r="H609" s="17">
        <f t="shared" ca="1" si="18"/>
        <v>46174</v>
      </c>
      <c r="I609" s="17" t="str">
        <f t="shared" ca="1" si="19"/>
        <v>90+ Days</v>
      </c>
    </row>
    <row r="610" spans="1:9">
      <c r="A610">
        <v>968</v>
      </c>
      <c r="B610" t="s">
        <v>8</v>
      </c>
      <c r="C610" s="16">
        <v>46001</v>
      </c>
      <c r="D610">
        <v>46904</v>
      </c>
      <c r="F610" t="s">
        <v>1</v>
      </c>
      <c r="H610" s="17">
        <f t="shared" ca="1" si="18"/>
        <v>46174</v>
      </c>
      <c r="I610" s="17" t="str">
        <f t="shared" ca="1" si="19"/>
        <v>90+ Days</v>
      </c>
    </row>
    <row r="611" spans="1:9">
      <c r="A611">
        <v>969</v>
      </c>
      <c r="B611" t="s">
        <v>7</v>
      </c>
      <c r="C611" s="16">
        <v>46002</v>
      </c>
      <c r="D611">
        <v>28088</v>
      </c>
      <c r="F611" t="s">
        <v>1</v>
      </c>
      <c r="H611" s="17">
        <f t="shared" ca="1" si="18"/>
        <v>46174</v>
      </c>
      <c r="I611" s="17" t="str">
        <f t="shared" ca="1" si="19"/>
        <v>90+ Days</v>
      </c>
    </row>
    <row r="612" spans="1:9">
      <c r="A612">
        <v>970</v>
      </c>
      <c r="B612" t="s">
        <v>74</v>
      </c>
      <c r="C612" s="16">
        <v>46002</v>
      </c>
      <c r="D612">
        <v>8190</v>
      </c>
      <c r="F612" t="s">
        <v>1</v>
      </c>
      <c r="H612" s="17">
        <f t="shared" ca="1" si="18"/>
        <v>46174</v>
      </c>
      <c r="I612" s="17" t="str">
        <f t="shared" ca="1" si="19"/>
        <v>90+ Days</v>
      </c>
    </row>
    <row r="613" spans="1:9">
      <c r="A613">
        <v>971</v>
      </c>
      <c r="B613" t="s">
        <v>87</v>
      </c>
      <c r="C613" s="16">
        <v>46002</v>
      </c>
      <c r="D613">
        <v>10441</v>
      </c>
      <c r="F613" t="s">
        <v>1</v>
      </c>
      <c r="H613" s="17">
        <f t="shared" ca="1" si="18"/>
        <v>46174</v>
      </c>
      <c r="I613" s="17" t="str">
        <f t="shared" ca="1" si="19"/>
        <v>90+ Days</v>
      </c>
    </row>
    <row r="614" spans="1:9">
      <c r="A614">
        <v>972</v>
      </c>
      <c r="B614" t="s">
        <v>87</v>
      </c>
      <c r="C614" s="16">
        <v>46002</v>
      </c>
      <c r="D614">
        <v>10080</v>
      </c>
      <c r="F614" t="s">
        <v>1</v>
      </c>
      <c r="H614" s="17">
        <f t="shared" ca="1" si="18"/>
        <v>46174</v>
      </c>
      <c r="I614" s="17" t="str">
        <f t="shared" ca="1" si="19"/>
        <v>90+ Days</v>
      </c>
    </row>
    <row r="615" spans="1:9">
      <c r="A615">
        <v>973</v>
      </c>
      <c r="B615" t="s">
        <v>47</v>
      </c>
      <c r="C615" s="16">
        <v>46002</v>
      </c>
      <c r="D615">
        <v>10080</v>
      </c>
      <c r="F615" t="s">
        <v>1</v>
      </c>
      <c r="H615" s="17">
        <f t="shared" ca="1" si="18"/>
        <v>46174</v>
      </c>
      <c r="I615" s="17" t="str">
        <f t="shared" ca="1" si="19"/>
        <v>90+ Days</v>
      </c>
    </row>
    <row r="616" spans="1:9">
      <c r="A616">
        <v>974</v>
      </c>
      <c r="B616" t="s">
        <v>47</v>
      </c>
      <c r="C616" s="16">
        <v>46002</v>
      </c>
      <c r="D616">
        <v>3485</v>
      </c>
      <c r="F616" t="s">
        <v>1</v>
      </c>
      <c r="H616" s="17">
        <f t="shared" ca="1" si="18"/>
        <v>46174</v>
      </c>
      <c r="I616" s="17" t="str">
        <f t="shared" ca="1" si="19"/>
        <v>90+ Days</v>
      </c>
    </row>
    <row r="617" spans="1:9">
      <c r="A617">
        <v>975</v>
      </c>
      <c r="B617" t="s">
        <v>78</v>
      </c>
      <c r="C617" s="16">
        <v>46002</v>
      </c>
      <c r="D617">
        <v>20136</v>
      </c>
      <c r="F617" t="s">
        <v>1</v>
      </c>
      <c r="H617" s="17">
        <f t="shared" ca="1" si="18"/>
        <v>46174</v>
      </c>
      <c r="I617" s="17" t="str">
        <f t="shared" ca="1" si="19"/>
        <v>90+ Days</v>
      </c>
    </row>
    <row r="618" spans="1:9">
      <c r="A618">
        <v>976</v>
      </c>
      <c r="B618" t="s">
        <v>28</v>
      </c>
      <c r="C618" s="16">
        <v>46002</v>
      </c>
      <c r="D618">
        <v>4873</v>
      </c>
      <c r="F618" t="s">
        <v>1</v>
      </c>
      <c r="H618" s="17">
        <f t="shared" ca="1" si="18"/>
        <v>46174</v>
      </c>
      <c r="I618" s="17" t="str">
        <f t="shared" ca="1" si="19"/>
        <v>90+ Days</v>
      </c>
    </row>
    <row r="619" spans="1:9">
      <c r="A619">
        <v>977</v>
      </c>
      <c r="B619" t="s">
        <v>7</v>
      </c>
      <c r="C619" s="16">
        <v>46002</v>
      </c>
      <c r="D619">
        <v>4425</v>
      </c>
      <c r="F619" t="s">
        <v>1</v>
      </c>
      <c r="H619" s="17">
        <f t="shared" ca="1" si="18"/>
        <v>46174</v>
      </c>
      <c r="I619" s="17" t="str">
        <f t="shared" ca="1" si="19"/>
        <v>90+ Days</v>
      </c>
    </row>
    <row r="620" spans="1:9">
      <c r="A620">
        <v>978</v>
      </c>
      <c r="B620" t="s">
        <v>112</v>
      </c>
      <c r="C620" s="16">
        <v>46003</v>
      </c>
      <c r="D620">
        <v>10422</v>
      </c>
      <c r="F620" t="s">
        <v>1</v>
      </c>
      <c r="H620" s="17">
        <f t="shared" ca="1" si="18"/>
        <v>46174</v>
      </c>
      <c r="I620" s="17" t="str">
        <f t="shared" ca="1" si="19"/>
        <v>90+ Days</v>
      </c>
    </row>
    <row r="621" spans="1:9">
      <c r="A621">
        <v>979</v>
      </c>
      <c r="B621" t="s">
        <v>41</v>
      </c>
      <c r="C621" s="16">
        <v>46003</v>
      </c>
      <c r="D621">
        <v>7904</v>
      </c>
      <c r="F621" t="s">
        <v>1</v>
      </c>
      <c r="H621" s="17">
        <f t="shared" ca="1" si="18"/>
        <v>46174</v>
      </c>
      <c r="I621" s="17" t="str">
        <f t="shared" ca="1" si="19"/>
        <v>90+ Days</v>
      </c>
    </row>
    <row r="622" spans="1:9">
      <c r="A622">
        <v>980</v>
      </c>
      <c r="B622" t="s">
        <v>15</v>
      </c>
      <c r="C622" s="16">
        <v>46003</v>
      </c>
      <c r="D622">
        <v>2266</v>
      </c>
      <c r="F622" t="s">
        <v>1</v>
      </c>
      <c r="H622" s="17">
        <f t="shared" ca="1" si="18"/>
        <v>46174</v>
      </c>
      <c r="I622" s="17" t="str">
        <f t="shared" ca="1" si="19"/>
        <v>90+ Days</v>
      </c>
    </row>
    <row r="623" spans="1:9">
      <c r="A623">
        <v>981</v>
      </c>
      <c r="B623" t="s">
        <v>126</v>
      </c>
      <c r="C623" s="16">
        <v>46003</v>
      </c>
      <c r="D623">
        <v>2415</v>
      </c>
      <c r="F623" t="s">
        <v>1</v>
      </c>
      <c r="H623" s="17">
        <f t="shared" ca="1" si="18"/>
        <v>46174</v>
      </c>
      <c r="I623" s="17" t="str">
        <f t="shared" ca="1" si="19"/>
        <v>90+ Days</v>
      </c>
    </row>
    <row r="624" spans="1:9">
      <c r="A624">
        <v>982</v>
      </c>
      <c r="B624" t="s">
        <v>71</v>
      </c>
      <c r="C624" s="16">
        <v>46004</v>
      </c>
      <c r="D624">
        <v>10080</v>
      </c>
      <c r="F624" t="s">
        <v>1</v>
      </c>
      <c r="H624" s="17">
        <f t="shared" ca="1" si="18"/>
        <v>46174</v>
      </c>
      <c r="I624" s="17" t="str">
        <f t="shared" ca="1" si="19"/>
        <v>90+ Days</v>
      </c>
    </row>
    <row r="625" spans="1:9">
      <c r="A625">
        <v>983</v>
      </c>
      <c r="B625" t="s">
        <v>12</v>
      </c>
      <c r="C625" s="16">
        <v>46004</v>
      </c>
      <c r="D625">
        <v>14364</v>
      </c>
      <c r="F625" t="s">
        <v>1</v>
      </c>
      <c r="H625" s="17">
        <f t="shared" ca="1" si="18"/>
        <v>46174</v>
      </c>
      <c r="I625" s="17" t="str">
        <f t="shared" ca="1" si="19"/>
        <v>90+ Days</v>
      </c>
    </row>
    <row r="626" spans="1:9">
      <c r="A626">
        <v>984</v>
      </c>
      <c r="B626" t="s">
        <v>98</v>
      </c>
      <c r="C626" s="16">
        <v>46006</v>
      </c>
      <c r="D626">
        <v>19740</v>
      </c>
      <c r="F626" t="s">
        <v>1</v>
      </c>
      <c r="H626" s="17">
        <f t="shared" ca="1" si="18"/>
        <v>46174</v>
      </c>
      <c r="I626" s="17" t="str">
        <f t="shared" ca="1" si="19"/>
        <v>90+ Days</v>
      </c>
    </row>
    <row r="627" spans="1:9">
      <c r="A627">
        <v>985</v>
      </c>
      <c r="B627" t="s">
        <v>13</v>
      </c>
      <c r="C627" s="16">
        <v>46006</v>
      </c>
      <c r="D627">
        <v>18056</v>
      </c>
      <c r="F627" t="s">
        <v>1</v>
      </c>
      <c r="H627" s="17">
        <f t="shared" ca="1" si="18"/>
        <v>46174</v>
      </c>
      <c r="I627" s="17" t="str">
        <f t="shared" ca="1" si="19"/>
        <v>90+ Days</v>
      </c>
    </row>
    <row r="628" spans="1:9">
      <c r="A628">
        <v>986</v>
      </c>
      <c r="B628" t="s">
        <v>48</v>
      </c>
      <c r="C628" s="16">
        <v>46006</v>
      </c>
      <c r="D628">
        <v>6615</v>
      </c>
      <c r="F628" t="s">
        <v>1</v>
      </c>
      <c r="H628" s="17">
        <f t="shared" ca="1" si="18"/>
        <v>46174</v>
      </c>
      <c r="I628" s="17" t="str">
        <f t="shared" ca="1" si="19"/>
        <v>90+ Days</v>
      </c>
    </row>
    <row r="629" spans="1:9">
      <c r="A629">
        <v>987</v>
      </c>
      <c r="B629" t="s">
        <v>49</v>
      </c>
      <c r="C629" s="16">
        <v>46006</v>
      </c>
      <c r="D629">
        <v>27300</v>
      </c>
      <c r="F629" t="s">
        <v>1</v>
      </c>
      <c r="H629" s="17">
        <f t="shared" ca="1" si="18"/>
        <v>46174</v>
      </c>
      <c r="I629" s="17" t="str">
        <f t="shared" ca="1" si="19"/>
        <v>90+ Days</v>
      </c>
    </row>
    <row r="630" spans="1:9">
      <c r="A630">
        <v>988</v>
      </c>
      <c r="B630" t="s">
        <v>137</v>
      </c>
      <c r="C630" s="16">
        <v>46006</v>
      </c>
      <c r="D630">
        <v>29610</v>
      </c>
      <c r="F630" t="s">
        <v>1</v>
      </c>
      <c r="H630" s="17">
        <f t="shared" ca="1" si="18"/>
        <v>46174</v>
      </c>
      <c r="I630" s="17" t="str">
        <f t="shared" ca="1" si="19"/>
        <v>90+ Days</v>
      </c>
    </row>
    <row r="631" spans="1:9">
      <c r="A631">
        <v>989</v>
      </c>
      <c r="B631" t="s">
        <v>7</v>
      </c>
      <c r="C631" s="16">
        <v>46008</v>
      </c>
      <c r="D631">
        <v>2655</v>
      </c>
      <c r="F631" t="s">
        <v>1</v>
      </c>
      <c r="H631" s="17">
        <f t="shared" ca="1" si="18"/>
        <v>46174</v>
      </c>
      <c r="I631" s="17" t="str">
        <f t="shared" ca="1" si="19"/>
        <v>90+ Days</v>
      </c>
    </row>
    <row r="632" spans="1:9">
      <c r="A632">
        <v>991</v>
      </c>
      <c r="B632" t="s">
        <v>127</v>
      </c>
      <c r="C632" s="16">
        <v>46008</v>
      </c>
      <c r="D632">
        <v>0.01</v>
      </c>
      <c r="F632" t="s">
        <v>1</v>
      </c>
      <c r="H632" s="17">
        <f t="shared" ca="1" si="18"/>
        <v>46174</v>
      </c>
      <c r="I632" s="17" t="str">
        <f t="shared" ca="1" si="19"/>
        <v>90+ Days</v>
      </c>
    </row>
    <row r="633" spans="1:9">
      <c r="A633">
        <v>992</v>
      </c>
      <c r="B633" t="s">
        <v>9</v>
      </c>
      <c r="C633" s="16">
        <v>46008</v>
      </c>
      <c r="D633">
        <v>19740</v>
      </c>
      <c r="F633" t="s">
        <v>1</v>
      </c>
      <c r="H633" s="17">
        <f t="shared" ca="1" si="18"/>
        <v>46174</v>
      </c>
      <c r="I633" s="17" t="str">
        <f t="shared" ca="1" si="19"/>
        <v>90+ Days</v>
      </c>
    </row>
    <row r="634" spans="1:9">
      <c r="A634">
        <v>993</v>
      </c>
      <c r="B634" t="s">
        <v>9</v>
      </c>
      <c r="C634" s="16">
        <v>46008</v>
      </c>
      <c r="D634">
        <v>10502</v>
      </c>
      <c r="F634" t="s">
        <v>1</v>
      </c>
      <c r="H634" s="17">
        <f t="shared" ca="1" si="18"/>
        <v>46174</v>
      </c>
      <c r="I634" s="17" t="str">
        <f t="shared" ca="1" si="19"/>
        <v>90+ Days</v>
      </c>
    </row>
    <row r="635" spans="1:9">
      <c r="A635">
        <v>994</v>
      </c>
      <c r="B635" t="s">
        <v>40</v>
      </c>
      <c r="C635" s="16">
        <v>46008</v>
      </c>
      <c r="D635">
        <v>7718</v>
      </c>
      <c r="F635" t="s">
        <v>1</v>
      </c>
      <c r="H635" s="17">
        <f t="shared" ca="1" si="18"/>
        <v>46174</v>
      </c>
      <c r="I635" s="17" t="str">
        <f t="shared" ca="1" si="19"/>
        <v>90+ Days</v>
      </c>
    </row>
    <row r="636" spans="1:9">
      <c r="A636">
        <v>995</v>
      </c>
      <c r="B636" t="s">
        <v>11</v>
      </c>
      <c r="C636" s="16">
        <v>46009</v>
      </c>
      <c r="D636">
        <v>24433</v>
      </c>
      <c r="F636" t="s">
        <v>1</v>
      </c>
      <c r="H636" s="17">
        <f t="shared" ca="1" si="18"/>
        <v>46174</v>
      </c>
      <c r="I636" s="17" t="str">
        <f t="shared" ca="1" si="19"/>
        <v>90+ Days</v>
      </c>
    </row>
    <row r="637" spans="1:9">
      <c r="A637">
        <v>996</v>
      </c>
      <c r="B637" t="s">
        <v>43</v>
      </c>
      <c r="C637" s="16">
        <v>46009</v>
      </c>
      <c r="D637">
        <v>13541</v>
      </c>
      <c r="F637" t="s">
        <v>1</v>
      </c>
      <c r="H637" s="17">
        <f t="shared" ca="1" si="18"/>
        <v>46174</v>
      </c>
      <c r="I637" s="17" t="str">
        <f t="shared" ca="1" si="19"/>
        <v>90+ Days</v>
      </c>
    </row>
    <row r="638" spans="1:9">
      <c r="A638">
        <v>997</v>
      </c>
      <c r="B638" t="s">
        <v>43</v>
      </c>
      <c r="C638" s="16">
        <v>46009</v>
      </c>
      <c r="D638">
        <v>504</v>
      </c>
      <c r="F638" t="s">
        <v>1</v>
      </c>
      <c r="H638" s="17">
        <f t="shared" ca="1" si="18"/>
        <v>46174</v>
      </c>
      <c r="I638" s="17" t="str">
        <f t="shared" ca="1" si="19"/>
        <v>90+ Days</v>
      </c>
    </row>
    <row r="639" spans="1:9">
      <c r="A639">
        <v>998</v>
      </c>
      <c r="B639" t="s">
        <v>31</v>
      </c>
      <c r="C639" s="16">
        <v>46009</v>
      </c>
      <c r="D639">
        <v>5040</v>
      </c>
      <c r="F639" t="s">
        <v>1</v>
      </c>
      <c r="H639" s="17">
        <f t="shared" ca="1" si="18"/>
        <v>46174</v>
      </c>
      <c r="I639" s="17" t="str">
        <f t="shared" ca="1" si="19"/>
        <v>90+ Days</v>
      </c>
    </row>
    <row r="640" spans="1:9">
      <c r="A640">
        <v>999</v>
      </c>
      <c r="B640" t="s">
        <v>138</v>
      </c>
      <c r="C640" s="16">
        <v>46009</v>
      </c>
      <c r="D640">
        <v>14456</v>
      </c>
      <c r="F640" t="s">
        <v>1</v>
      </c>
      <c r="H640" s="17">
        <f t="shared" ca="1" si="18"/>
        <v>46174</v>
      </c>
      <c r="I640" s="17" t="str">
        <f t="shared" ca="1" si="19"/>
        <v>90+ Days</v>
      </c>
    </row>
    <row r="641" spans="1:9">
      <c r="A641">
        <v>1000</v>
      </c>
      <c r="B641" t="s">
        <v>12</v>
      </c>
      <c r="C641" s="16">
        <v>46009</v>
      </c>
      <c r="D641">
        <v>38304</v>
      </c>
      <c r="F641" t="s">
        <v>1</v>
      </c>
      <c r="H641" s="17">
        <f t="shared" ca="1" si="18"/>
        <v>46174</v>
      </c>
      <c r="I641" s="17" t="str">
        <f t="shared" ca="1" si="19"/>
        <v>90+ Days</v>
      </c>
    </row>
    <row r="642" spans="1:9">
      <c r="A642">
        <v>1001</v>
      </c>
      <c r="B642" t="s">
        <v>39</v>
      </c>
      <c r="C642" s="16">
        <v>46009</v>
      </c>
      <c r="D642">
        <v>9133</v>
      </c>
      <c r="F642" t="s">
        <v>1</v>
      </c>
      <c r="H642" s="17">
        <f t="shared" ref="H642:H705" ca="1" si="20">IF(F642="Closed", 0, IF(TODAY()&gt;G642, TODAY()-G642, 0))</f>
        <v>46174</v>
      </c>
      <c r="I642" s="17" t="str">
        <f t="shared" ref="I642:I705" ca="1" si="21">IF(H642=0, "Not Overdue", IF(H642&lt;=30, "1-30 Days", IF(H642&lt;=60, "31-60 Days", IF(H642&lt;=90, "61-90 Days", "90+ Days"))))</f>
        <v>90+ Days</v>
      </c>
    </row>
    <row r="643" spans="1:9">
      <c r="A643">
        <v>1002</v>
      </c>
      <c r="B643" t="s">
        <v>39</v>
      </c>
      <c r="C643" s="16">
        <v>46009</v>
      </c>
      <c r="D643">
        <v>5040</v>
      </c>
      <c r="F643" t="s">
        <v>1</v>
      </c>
      <c r="H643" s="17">
        <f t="shared" ca="1" si="20"/>
        <v>46174</v>
      </c>
      <c r="I643" s="17" t="str">
        <f t="shared" ca="1" si="21"/>
        <v>90+ Days</v>
      </c>
    </row>
    <row r="644" spans="1:9">
      <c r="A644">
        <v>1003</v>
      </c>
      <c r="B644" t="s">
        <v>53</v>
      </c>
      <c r="C644" s="16">
        <v>46009</v>
      </c>
      <c r="D644">
        <v>2702</v>
      </c>
      <c r="F644" t="s">
        <v>1</v>
      </c>
      <c r="H644" s="17">
        <f t="shared" ca="1" si="20"/>
        <v>46174</v>
      </c>
      <c r="I644" s="17" t="str">
        <f t="shared" ca="1" si="21"/>
        <v>90+ Days</v>
      </c>
    </row>
    <row r="645" spans="1:9">
      <c r="A645">
        <v>1004</v>
      </c>
      <c r="B645" t="s">
        <v>59</v>
      </c>
      <c r="C645" s="16">
        <v>46009</v>
      </c>
      <c r="D645">
        <v>14715</v>
      </c>
      <c r="F645" t="s">
        <v>1</v>
      </c>
      <c r="H645" s="17">
        <f t="shared" ca="1" si="20"/>
        <v>46174</v>
      </c>
      <c r="I645" s="17" t="str">
        <f t="shared" ca="1" si="21"/>
        <v>90+ Days</v>
      </c>
    </row>
    <row r="646" spans="1:9">
      <c r="A646">
        <v>1005</v>
      </c>
      <c r="B646" t="s">
        <v>86</v>
      </c>
      <c r="C646" s="16">
        <v>46010</v>
      </c>
      <c r="D646">
        <v>10567</v>
      </c>
      <c r="F646" t="s">
        <v>1</v>
      </c>
      <c r="H646" s="17">
        <f t="shared" ca="1" si="20"/>
        <v>46174</v>
      </c>
      <c r="I646" s="17" t="str">
        <f t="shared" ca="1" si="21"/>
        <v>90+ Days</v>
      </c>
    </row>
    <row r="647" spans="1:9">
      <c r="A647">
        <v>1006</v>
      </c>
      <c r="B647" t="s">
        <v>29</v>
      </c>
      <c r="C647" s="16">
        <v>46010</v>
      </c>
      <c r="D647">
        <v>9767</v>
      </c>
      <c r="F647" t="s">
        <v>1</v>
      </c>
      <c r="H647" s="17">
        <f t="shared" ca="1" si="20"/>
        <v>46174</v>
      </c>
      <c r="I647" s="17" t="str">
        <f t="shared" ca="1" si="21"/>
        <v>90+ Days</v>
      </c>
    </row>
    <row r="648" spans="1:9">
      <c r="A648">
        <v>1007</v>
      </c>
      <c r="B648" t="s">
        <v>16</v>
      </c>
      <c r="C648" s="16">
        <v>46010</v>
      </c>
      <c r="D648">
        <v>13931</v>
      </c>
      <c r="F648" t="s">
        <v>1</v>
      </c>
      <c r="H648" s="17">
        <f t="shared" ca="1" si="20"/>
        <v>46174</v>
      </c>
      <c r="I648" s="17" t="str">
        <f t="shared" ca="1" si="21"/>
        <v>90+ Days</v>
      </c>
    </row>
    <row r="649" spans="1:9">
      <c r="A649">
        <v>1008</v>
      </c>
      <c r="B649" t="s">
        <v>16</v>
      </c>
      <c r="C649" s="16">
        <v>46010</v>
      </c>
      <c r="D649">
        <v>10290</v>
      </c>
      <c r="F649" t="s">
        <v>1</v>
      </c>
      <c r="H649" s="17">
        <f t="shared" ca="1" si="20"/>
        <v>46174</v>
      </c>
      <c r="I649" s="17" t="str">
        <f t="shared" ca="1" si="21"/>
        <v>90+ Days</v>
      </c>
    </row>
    <row r="650" spans="1:9">
      <c r="A650">
        <v>1009</v>
      </c>
      <c r="B650" t="s">
        <v>91</v>
      </c>
      <c r="C650" s="16">
        <v>46010</v>
      </c>
      <c r="D650">
        <v>4935</v>
      </c>
      <c r="F650" t="s">
        <v>27</v>
      </c>
      <c r="H650" s="17">
        <f t="shared" ca="1" si="20"/>
        <v>0</v>
      </c>
      <c r="I650" s="17" t="str">
        <f t="shared" ca="1" si="21"/>
        <v>Not Overdue</v>
      </c>
    </row>
    <row r="651" spans="1:9">
      <c r="A651">
        <v>1010</v>
      </c>
      <c r="B651" t="s">
        <v>28</v>
      </c>
      <c r="C651" s="16">
        <v>46010</v>
      </c>
      <c r="D651">
        <v>4845</v>
      </c>
      <c r="F651" t="s">
        <v>1</v>
      </c>
      <c r="H651" s="17">
        <f t="shared" ca="1" si="20"/>
        <v>46174</v>
      </c>
      <c r="I651" s="17" t="str">
        <f t="shared" ca="1" si="21"/>
        <v>90+ Days</v>
      </c>
    </row>
    <row r="652" spans="1:9">
      <c r="A652">
        <v>1011</v>
      </c>
      <c r="B652" t="s">
        <v>28</v>
      </c>
      <c r="C652" s="16">
        <v>46010</v>
      </c>
      <c r="D652">
        <v>4214</v>
      </c>
      <c r="F652" t="s">
        <v>1</v>
      </c>
      <c r="H652" s="17">
        <f t="shared" ca="1" si="20"/>
        <v>46174</v>
      </c>
      <c r="I652" s="17" t="str">
        <f t="shared" ca="1" si="21"/>
        <v>90+ Days</v>
      </c>
    </row>
    <row r="653" spans="1:9">
      <c r="A653">
        <v>1012</v>
      </c>
      <c r="B653" t="s">
        <v>112</v>
      </c>
      <c r="C653" s="16">
        <v>46010</v>
      </c>
      <c r="D653">
        <v>14438</v>
      </c>
      <c r="F653" t="s">
        <v>1</v>
      </c>
      <c r="H653" s="17">
        <f t="shared" ca="1" si="20"/>
        <v>46174</v>
      </c>
      <c r="I653" s="17" t="str">
        <f t="shared" ca="1" si="21"/>
        <v>90+ Days</v>
      </c>
    </row>
    <row r="654" spans="1:9">
      <c r="A654">
        <v>1013</v>
      </c>
      <c r="B654" t="s">
        <v>55</v>
      </c>
      <c r="C654" s="16">
        <v>46010</v>
      </c>
      <c r="D654">
        <v>5812</v>
      </c>
      <c r="F654" t="s">
        <v>1</v>
      </c>
      <c r="H654" s="17">
        <f t="shared" ca="1" si="20"/>
        <v>46174</v>
      </c>
      <c r="I654" s="17" t="str">
        <f t="shared" ca="1" si="21"/>
        <v>90+ Days</v>
      </c>
    </row>
    <row r="655" spans="1:9">
      <c r="A655">
        <v>990</v>
      </c>
      <c r="B655" t="s">
        <v>7</v>
      </c>
      <c r="C655" s="16">
        <v>46011</v>
      </c>
      <c r="D655">
        <v>42963</v>
      </c>
      <c r="F655" t="s">
        <v>1</v>
      </c>
      <c r="H655" s="17">
        <f t="shared" ca="1" si="20"/>
        <v>46174</v>
      </c>
      <c r="I655" s="17" t="str">
        <f t="shared" ca="1" si="21"/>
        <v>90+ Days</v>
      </c>
    </row>
    <row r="656" spans="1:9">
      <c r="A656">
        <v>1014</v>
      </c>
      <c r="B656" t="s">
        <v>13</v>
      </c>
      <c r="C656" s="16">
        <v>46011</v>
      </c>
      <c r="D656">
        <v>35627</v>
      </c>
      <c r="F656" t="s">
        <v>1</v>
      </c>
      <c r="H656" s="17">
        <f t="shared" ca="1" si="20"/>
        <v>46174</v>
      </c>
      <c r="I656" s="17" t="str">
        <f t="shared" ca="1" si="21"/>
        <v>90+ Days</v>
      </c>
    </row>
    <row r="657" spans="1:9">
      <c r="A657">
        <v>1015</v>
      </c>
      <c r="B657" t="s">
        <v>14</v>
      </c>
      <c r="C657" s="16">
        <v>46011</v>
      </c>
      <c r="D657">
        <v>10080</v>
      </c>
      <c r="F657" t="s">
        <v>1</v>
      </c>
      <c r="H657" s="17">
        <f t="shared" ca="1" si="20"/>
        <v>46174</v>
      </c>
      <c r="I657" s="17" t="str">
        <f t="shared" ca="1" si="21"/>
        <v>90+ Days</v>
      </c>
    </row>
    <row r="658" spans="1:9">
      <c r="A658">
        <v>1016</v>
      </c>
      <c r="B658" t="s">
        <v>85</v>
      </c>
      <c r="C658" s="16">
        <v>46013</v>
      </c>
      <c r="D658">
        <v>11230</v>
      </c>
      <c r="F658" t="s">
        <v>1</v>
      </c>
      <c r="H658" s="17">
        <f t="shared" ca="1" si="20"/>
        <v>46174</v>
      </c>
      <c r="I658" s="17" t="str">
        <f t="shared" ca="1" si="21"/>
        <v>90+ Days</v>
      </c>
    </row>
    <row r="659" spans="1:9">
      <c r="A659">
        <v>1017</v>
      </c>
      <c r="B659" t="s">
        <v>85</v>
      </c>
      <c r="C659" s="16">
        <v>46013</v>
      </c>
      <c r="D659">
        <v>4248</v>
      </c>
      <c r="F659" t="s">
        <v>1</v>
      </c>
      <c r="H659" s="17">
        <f t="shared" ca="1" si="20"/>
        <v>46174</v>
      </c>
      <c r="I659" s="17" t="str">
        <f t="shared" ca="1" si="21"/>
        <v>90+ Days</v>
      </c>
    </row>
    <row r="660" spans="1:9">
      <c r="A660">
        <v>1018</v>
      </c>
      <c r="B660" t="s">
        <v>10</v>
      </c>
      <c r="C660" s="16">
        <v>46013</v>
      </c>
      <c r="D660">
        <v>20099</v>
      </c>
      <c r="F660" t="s">
        <v>1</v>
      </c>
      <c r="H660" s="17">
        <f t="shared" ca="1" si="20"/>
        <v>46174</v>
      </c>
      <c r="I660" s="17" t="str">
        <f t="shared" ca="1" si="21"/>
        <v>90+ Days</v>
      </c>
    </row>
    <row r="661" spans="1:9">
      <c r="A661">
        <v>1019</v>
      </c>
      <c r="B661" t="s">
        <v>10</v>
      </c>
      <c r="C661" s="16">
        <v>46013</v>
      </c>
      <c r="D661">
        <v>9975</v>
      </c>
      <c r="F661" t="s">
        <v>1</v>
      </c>
      <c r="H661" s="17">
        <f t="shared" ca="1" si="20"/>
        <v>46174</v>
      </c>
      <c r="I661" s="17" t="str">
        <f t="shared" ca="1" si="21"/>
        <v>90+ Days</v>
      </c>
    </row>
    <row r="662" spans="1:9">
      <c r="A662">
        <v>1020</v>
      </c>
      <c r="B662" t="s">
        <v>129</v>
      </c>
      <c r="C662" s="16">
        <v>46014</v>
      </c>
      <c r="D662">
        <v>14509</v>
      </c>
      <c r="F662" t="s">
        <v>1</v>
      </c>
      <c r="H662" s="17">
        <f t="shared" ca="1" si="20"/>
        <v>46174</v>
      </c>
      <c r="I662" s="17" t="str">
        <f t="shared" ca="1" si="21"/>
        <v>90+ Days</v>
      </c>
    </row>
    <row r="663" spans="1:9">
      <c r="A663">
        <v>1022</v>
      </c>
      <c r="B663" t="s">
        <v>67</v>
      </c>
      <c r="C663" s="16">
        <v>46014</v>
      </c>
      <c r="D663">
        <v>2573</v>
      </c>
      <c r="F663" t="s">
        <v>1</v>
      </c>
      <c r="H663" s="17">
        <f t="shared" ca="1" si="20"/>
        <v>46174</v>
      </c>
      <c r="I663" s="17" t="str">
        <f t="shared" ca="1" si="21"/>
        <v>90+ Days</v>
      </c>
    </row>
    <row r="664" spans="1:9">
      <c r="A664">
        <v>1023</v>
      </c>
      <c r="B664" t="s">
        <v>91</v>
      </c>
      <c r="C664" s="16">
        <v>46015</v>
      </c>
      <c r="D664">
        <v>2468</v>
      </c>
      <c r="F664" t="s">
        <v>27</v>
      </c>
      <c r="H664" s="17">
        <f t="shared" ca="1" si="20"/>
        <v>0</v>
      </c>
      <c r="I664" s="17" t="str">
        <f t="shared" ca="1" si="21"/>
        <v>Not Overdue</v>
      </c>
    </row>
    <row r="665" spans="1:9">
      <c r="A665">
        <v>1024</v>
      </c>
      <c r="B665" t="s">
        <v>69</v>
      </c>
      <c r="C665" s="16">
        <v>46015</v>
      </c>
      <c r="D665">
        <v>3790</v>
      </c>
      <c r="F665" t="s">
        <v>1</v>
      </c>
      <c r="H665" s="17">
        <f t="shared" ca="1" si="20"/>
        <v>46174</v>
      </c>
      <c r="I665" s="17" t="str">
        <f t="shared" ca="1" si="21"/>
        <v>90+ Days</v>
      </c>
    </row>
    <row r="666" spans="1:9">
      <c r="A666">
        <v>1025</v>
      </c>
      <c r="B666" t="s">
        <v>96</v>
      </c>
      <c r="C666" s="16">
        <v>46016</v>
      </c>
      <c r="D666">
        <v>10080</v>
      </c>
      <c r="F666" t="s">
        <v>1</v>
      </c>
      <c r="H666" s="17">
        <f t="shared" ca="1" si="20"/>
        <v>46174</v>
      </c>
      <c r="I666" s="17" t="str">
        <f t="shared" ca="1" si="21"/>
        <v>90+ Days</v>
      </c>
    </row>
    <row r="667" spans="1:9">
      <c r="A667">
        <v>1026</v>
      </c>
      <c r="B667" t="s">
        <v>71</v>
      </c>
      <c r="C667" s="16">
        <v>46016</v>
      </c>
      <c r="D667">
        <v>6048</v>
      </c>
      <c r="F667" t="s">
        <v>1</v>
      </c>
      <c r="H667" s="17">
        <f t="shared" ca="1" si="20"/>
        <v>46174</v>
      </c>
      <c r="I667" s="17" t="str">
        <f t="shared" ca="1" si="21"/>
        <v>90+ Days</v>
      </c>
    </row>
    <row r="668" spans="1:9">
      <c r="A668">
        <v>1027</v>
      </c>
      <c r="B668" t="s">
        <v>71</v>
      </c>
      <c r="C668" s="16">
        <v>46016</v>
      </c>
      <c r="D668">
        <v>6733</v>
      </c>
      <c r="F668" t="s">
        <v>1</v>
      </c>
      <c r="H668" s="17">
        <f t="shared" ca="1" si="20"/>
        <v>46174</v>
      </c>
      <c r="I668" s="17" t="str">
        <f t="shared" ca="1" si="21"/>
        <v>90+ Days</v>
      </c>
    </row>
    <row r="669" spans="1:9">
      <c r="A669">
        <v>1028</v>
      </c>
      <c r="B669" t="s">
        <v>84</v>
      </c>
      <c r="C669" s="16">
        <v>46016</v>
      </c>
      <c r="D669">
        <v>20179</v>
      </c>
      <c r="F669" t="s">
        <v>1</v>
      </c>
      <c r="H669" s="17">
        <f t="shared" ca="1" si="20"/>
        <v>46174</v>
      </c>
      <c r="I669" s="17" t="str">
        <f t="shared" ca="1" si="21"/>
        <v>90+ Days</v>
      </c>
    </row>
    <row r="670" spans="1:9">
      <c r="A670">
        <v>1029</v>
      </c>
      <c r="B670" t="s">
        <v>123</v>
      </c>
      <c r="C670" s="16">
        <v>46016</v>
      </c>
      <c r="D670">
        <v>14272</v>
      </c>
      <c r="F670" t="s">
        <v>1</v>
      </c>
      <c r="H670" s="17">
        <f t="shared" ca="1" si="20"/>
        <v>46174</v>
      </c>
      <c r="I670" s="17" t="str">
        <f t="shared" ca="1" si="21"/>
        <v>90+ Days</v>
      </c>
    </row>
    <row r="671" spans="1:9">
      <c r="A671">
        <v>1030</v>
      </c>
      <c r="B671" t="s">
        <v>111</v>
      </c>
      <c r="C671" s="16">
        <v>46016</v>
      </c>
      <c r="D671">
        <v>39636</v>
      </c>
      <c r="F671" t="s">
        <v>1</v>
      </c>
      <c r="H671" s="17">
        <f t="shared" ca="1" si="20"/>
        <v>46174</v>
      </c>
      <c r="I671" s="17" t="str">
        <f t="shared" ca="1" si="21"/>
        <v>90+ Days</v>
      </c>
    </row>
    <row r="672" spans="1:9">
      <c r="A672">
        <v>1031</v>
      </c>
      <c r="B672" t="s">
        <v>7</v>
      </c>
      <c r="C672" s="16">
        <v>46016</v>
      </c>
      <c r="D672">
        <v>2419</v>
      </c>
      <c r="F672" t="s">
        <v>1</v>
      </c>
      <c r="H672" s="17">
        <f t="shared" ca="1" si="20"/>
        <v>46174</v>
      </c>
      <c r="I672" s="17" t="str">
        <f t="shared" ca="1" si="21"/>
        <v>90+ Days</v>
      </c>
    </row>
    <row r="673" spans="1:9">
      <c r="A673">
        <v>1032</v>
      </c>
      <c r="B673" t="s">
        <v>7</v>
      </c>
      <c r="C673" s="16">
        <v>46016</v>
      </c>
      <c r="D673">
        <v>5310</v>
      </c>
      <c r="F673" t="s">
        <v>1</v>
      </c>
      <c r="H673" s="17">
        <f t="shared" ca="1" si="20"/>
        <v>46174</v>
      </c>
      <c r="I673" s="17" t="str">
        <f t="shared" ca="1" si="21"/>
        <v>90+ Days</v>
      </c>
    </row>
    <row r="674" spans="1:9">
      <c r="A674">
        <v>1033</v>
      </c>
      <c r="B674" t="s">
        <v>76</v>
      </c>
      <c r="C674" s="16">
        <v>46016</v>
      </c>
      <c r="D674">
        <v>10080</v>
      </c>
      <c r="F674" t="s">
        <v>1</v>
      </c>
      <c r="H674" s="17">
        <f t="shared" ca="1" si="20"/>
        <v>46174</v>
      </c>
      <c r="I674" s="17" t="str">
        <f t="shared" ca="1" si="21"/>
        <v>90+ Days</v>
      </c>
    </row>
    <row r="675" spans="1:9">
      <c r="A675">
        <v>1034</v>
      </c>
      <c r="B675" t="s">
        <v>70</v>
      </c>
      <c r="C675" s="16">
        <v>46016</v>
      </c>
      <c r="D675">
        <v>9270</v>
      </c>
      <c r="F675" t="s">
        <v>1</v>
      </c>
      <c r="H675" s="17">
        <f t="shared" ca="1" si="20"/>
        <v>46174</v>
      </c>
      <c r="I675" s="17" t="str">
        <f t="shared" ca="1" si="21"/>
        <v>90+ Days</v>
      </c>
    </row>
    <row r="676" spans="1:9">
      <c r="A676">
        <v>1035</v>
      </c>
      <c r="B676" t="s">
        <v>51</v>
      </c>
      <c r="C676" s="16">
        <v>46016</v>
      </c>
      <c r="D676">
        <v>9660</v>
      </c>
      <c r="F676" t="s">
        <v>1</v>
      </c>
      <c r="H676" s="17">
        <f t="shared" ca="1" si="20"/>
        <v>46174</v>
      </c>
      <c r="I676" s="17" t="str">
        <f t="shared" ca="1" si="21"/>
        <v>90+ Days</v>
      </c>
    </row>
    <row r="677" spans="1:9">
      <c r="A677">
        <v>1036</v>
      </c>
      <c r="B677" t="s">
        <v>13</v>
      </c>
      <c r="C677" s="16">
        <v>46017</v>
      </c>
      <c r="D677">
        <v>15024</v>
      </c>
      <c r="F677" t="s">
        <v>1</v>
      </c>
      <c r="H677" s="17">
        <f t="shared" ca="1" si="20"/>
        <v>46174</v>
      </c>
      <c r="I677" s="17" t="str">
        <f t="shared" ca="1" si="21"/>
        <v>90+ Days</v>
      </c>
    </row>
    <row r="678" spans="1:9">
      <c r="A678">
        <v>1037</v>
      </c>
      <c r="B678" t="s">
        <v>89</v>
      </c>
      <c r="C678" s="16">
        <v>46017</v>
      </c>
      <c r="D678">
        <v>13913</v>
      </c>
      <c r="F678" t="s">
        <v>1</v>
      </c>
      <c r="H678" s="17">
        <f t="shared" ca="1" si="20"/>
        <v>46174</v>
      </c>
      <c r="I678" s="17" t="str">
        <f t="shared" ca="1" si="21"/>
        <v>90+ Days</v>
      </c>
    </row>
    <row r="679" spans="1:9">
      <c r="A679">
        <v>1038</v>
      </c>
      <c r="B679" t="s">
        <v>40</v>
      </c>
      <c r="C679" s="16">
        <v>46017</v>
      </c>
      <c r="D679">
        <v>7718</v>
      </c>
      <c r="F679" t="s">
        <v>1</v>
      </c>
      <c r="H679" s="17">
        <f t="shared" ca="1" si="20"/>
        <v>46174</v>
      </c>
      <c r="I679" s="17" t="str">
        <f t="shared" ca="1" si="21"/>
        <v>90+ Days</v>
      </c>
    </row>
    <row r="680" spans="1:9">
      <c r="A680">
        <v>1039</v>
      </c>
      <c r="B680" t="s">
        <v>42</v>
      </c>
      <c r="C680" s="16">
        <v>46017</v>
      </c>
      <c r="D680">
        <v>7350</v>
      </c>
      <c r="F680" t="s">
        <v>1</v>
      </c>
      <c r="H680" s="17">
        <f t="shared" ca="1" si="20"/>
        <v>46174</v>
      </c>
      <c r="I680" s="17" t="str">
        <f t="shared" ca="1" si="21"/>
        <v>90+ Days</v>
      </c>
    </row>
    <row r="681" spans="1:9">
      <c r="A681">
        <v>1040</v>
      </c>
      <c r="B681" t="s">
        <v>42</v>
      </c>
      <c r="C681" s="16">
        <v>46017</v>
      </c>
      <c r="D681">
        <v>7875</v>
      </c>
      <c r="F681" t="s">
        <v>1</v>
      </c>
      <c r="H681" s="17">
        <f t="shared" ca="1" si="20"/>
        <v>46174</v>
      </c>
      <c r="I681" s="17" t="str">
        <f t="shared" ca="1" si="21"/>
        <v>90+ Days</v>
      </c>
    </row>
    <row r="682" spans="1:9">
      <c r="A682">
        <v>1041</v>
      </c>
      <c r="B682" t="s">
        <v>42</v>
      </c>
      <c r="C682" s="16">
        <v>46017</v>
      </c>
      <c r="D682">
        <v>3672</v>
      </c>
      <c r="F682" t="s">
        <v>1</v>
      </c>
      <c r="H682" s="17">
        <f t="shared" ca="1" si="20"/>
        <v>46174</v>
      </c>
      <c r="I682" s="17" t="str">
        <f t="shared" ca="1" si="21"/>
        <v>90+ Days</v>
      </c>
    </row>
    <row r="683" spans="1:9">
      <c r="A683">
        <v>1042</v>
      </c>
      <c r="B683" t="s">
        <v>104</v>
      </c>
      <c r="C683" s="16">
        <v>46017</v>
      </c>
      <c r="D683">
        <v>2461</v>
      </c>
      <c r="F683" t="s">
        <v>27</v>
      </c>
      <c r="H683" s="17">
        <f t="shared" ca="1" si="20"/>
        <v>0</v>
      </c>
      <c r="I683" s="17" t="str">
        <f t="shared" ca="1" si="21"/>
        <v>Not Overdue</v>
      </c>
    </row>
    <row r="684" spans="1:9">
      <c r="A684">
        <v>1043</v>
      </c>
      <c r="B684" t="s">
        <v>9</v>
      </c>
      <c r="C684" s="16">
        <v>46018</v>
      </c>
      <c r="D684">
        <v>13650</v>
      </c>
      <c r="F684" t="s">
        <v>1</v>
      </c>
      <c r="H684" s="17">
        <f t="shared" ca="1" si="20"/>
        <v>46174</v>
      </c>
      <c r="I684" s="17" t="str">
        <f t="shared" ca="1" si="21"/>
        <v>90+ Days</v>
      </c>
    </row>
    <row r="685" spans="1:9">
      <c r="A685">
        <v>1044</v>
      </c>
      <c r="B685" t="s">
        <v>12</v>
      </c>
      <c r="C685" s="16">
        <v>46018</v>
      </c>
      <c r="D685">
        <v>9576</v>
      </c>
      <c r="F685" t="s">
        <v>1</v>
      </c>
      <c r="H685" s="17">
        <f t="shared" ca="1" si="20"/>
        <v>46174</v>
      </c>
      <c r="I685" s="17" t="str">
        <f t="shared" ca="1" si="21"/>
        <v>90+ Days</v>
      </c>
    </row>
    <row r="686" spans="1:9">
      <c r="A686">
        <v>1045</v>
      </c>
      <c r="B686" t="s">
        <v>88</v>
      </c>
      <c r="C686" s="16">
        <v>46020</v>
      </c>
      <c r="D686">
        <v>13125</v>
      </c>
      <c r="F686" t="s">
        <v>1</v>
      </c>
      <c r="H686" s="17">
        <f t="shared" ca="1" si="20"/>
        <v>46174</v>
      </c>
      <c r="I686" s="17" t="str">
        <f t="shared" ca="1" si="21"/>
        <v>90+ Days</v>
      </c>
    </row>
    <row r="687" spans="1:9">
      <c r="A687">
        <v>1046</v>
      </c>
      <c r="B687" t="s">
        <v>88</v>
      </c>
      <c r="C687" s="16">
        <v>46020</v>
      </c>
      <c r="D687">
        <v>2993</v>
      </c>
      <c r="F687" t="s">
        <v>1</v>
      </c>
      <c r="H687" s="17">
        <f t="shared" ca="1" si="20"/>
        <v>46174</v>
      </c>
      <c r="I687" s="17" t="str">
        <f t="shared" ca="1" si="21"/>
        <v>90+ Days</v>
      </c>
    </row>
    <row r="688" spans="1:9">
      <c r="A688">
        <v>1047</v>
      </c>
      <c r="B688" t="s">
        <v>88</v>
      </c>
      <c r="C688" s="16">
        <v>46020</v>
      </c>
      <c r="D688">
        <v>10122</v>
      </c>
      <c r="F688" t="s">
        <v>1</v>
      </c>
      <c r="H688" s="17">
        <f t="shared" ca="1" si="20"/>
        <v>46174</v>
      </c>
      <c r="I688" s="17" t="str">
        <f t="shared" ca="1" si="21"/>
        <v>90+ Days</v>
      </c>
    </row>
    <row r="689" spans="1:9">
      <c r="A689">
        <v>1048</v>
      </c>
      <c r="B689" t="s">
        <v>9</v>
      </c>
      <c r="C689" s="16">
        <v>46020</v>
      </c>
      <c r="D689">
        <v>9870</v>
      </c>
      <c r="F689" t="s">
        <v>1</v>
      </c>
      <c r="H689" s="17">
        <f t="shared" ca="1" si="20"/>
        <v>46174</v>
      </c>
      <c r="I689" s="17" t="str">
        <f t="shared" ca="1" si="21"/>
        <v>90+ Days</v>
      </c>
    </row>
    <row r="690" spans="1:9">
      <c r="A690">
        <v>1049</v>
      </c>
      <c r="B690" t="s">
        <v>13</v>
      </c>
      <c r="C690" s="16">
        <v>46021</v>
      </c>
      <c r="D690">
        <v>18329</v>
      </c>
      <c r="F690" t="s">
        <v>1</v>
      </c>
      <c r="H690" s="17">
        <f t="shared" ca="1" si="20"/>
        <v>46174</v>
      </c>
      <c r="I690" s="17" t="str">
        <f t="shared" ca="1" si="21"/>
        <v>90+ Days</v>
      </c>
    </row>
    <row r="691" spans="1:9">
      <c r="A691">
        <v>1050</v>
      </c>
      <c r="B691" t="s">
        <v>16</v>
      </c>
      <c r="C691" s="16">
        <v>46021</v>
      </c>
      <c r="D691">
        <v>5712</v>
      </c>
      <c r="F691" t="s">
        <v>1</v>
      </c>
      <c r="H691" s="17">
        <f t="shared" ca="1" si="20"/>
        <v>46174</v>
      </c>
      <c r="I691" s="17" t="str">
        <f t="shared" ca="1" si="21"/>
        <v>90+ Days</v>
      </c>
    </row>
    <row r="692" spans="1:9">
      <c r="A692">
        <v>1051</v>
      </c>
      <c r="B692" t="s">
        <v>26</v>
      </c>
      <c r="C692" s="16">
        <v>46021</v>
      </c>
      <c r="D692">
        <v>3632</v>
      </c>
      <c r="F692" t="s">
        <v>1</v>
      </c>
      <c r="H692" s="17">
        <f t="shared" ca="1" si="20"/>
        <v>46174</v>
      </c>
      <c r="I692" s="17" t="str">
        <f t="shared" ca="1" si="21"/>
        <v>90+ Days</v>
      </c>
    </row>
    <row r="693" spans="1:9">
      <c r="A693">
        <v>1052</v>
      </c>
      <c r="B693" t="s">
        <v>28</v>
      </c>
      <c r="C693" s="16">
        <v>46021</v>
      </c>
      <c r="D693">
        <v>9760</v>
      </c>
      <c r="F693" t="s">
        <v>1</v>
      </c>
      <c r="H693" s="17">
        <f t="shared" ca="1" si="20"/>
        <v>46174</v>
      </c>
      <c r="I693" s="17" t="str">
        <f t="shared" ca="1" si="21"/>
        <v>90+ Days</v>
      </c>
    </row>
    <row r="694" spans="1:9">
      <c r="A694">
        <v>1053</v>
      </c>
      <c r="B694" t="s">
        <v>11</v>
      </c>
      <c r="C694" s="16">
        <v>46021</v>
      </c>
      <c r="D694">
        <v>8924</v>
      </c>
      <c r="F694" t="s">
        <v>1</v>
      </c>
      <c r="H694" s="17">
        <f t="shared" ca="1" si="20"/>
        <v>46174</v>
      </c>
      <c r="I694" s="17" t="str">
        <f t="shared" ca="1" si="21"/>
        <v>90+ Days</v>
      </c>
    </row>
    <row r="695" spans="1:9">
      <c r="A695">
        <v>1054</v>
      </c>
      <c r="B695" t="s">
        <v>11</v>
      </c>
      <c r="C695" s="16">
        <v>46021</v>
      </c>
      <c r="D695">
        <v>1029</v>
      </c>
      <c r="F695" t="s">
        <v>1</v>
      </c>
      <c r="H695" s="17">
        <f t="shared" ca="1" si="20"/>
        <v>46174</v>
      </c>
      <c r="I695" s="17" t="str">
        <f t="shared" ca="1" si="21"/>
        <v>90+ Days</v>
      </c>
    </row>
    <row r="696" spans="1:9">
      <c r="A696">
        <v>1055</v>
      </c>
      <c r="B696" t="s">
        <v>62</v>
      </c>
      <c r="C696" s="16">
        <v>46023</v>
      </c>
      <c r="D696">
        <v>4342</v>
      </c>
      <c r="F696" t="s">
        <v>1</v>
      </c>
      <c r="H696" s="17">
        <f t="shared" ca="1" si="20"/>
        <v>46174</v>
      </c>
      <c r="I696" s="17" t="str">
        <f t="shared" ca="1" si="21"/>
        <v>90+ Days</v>
      </c>
    </row>
    <row r="697" spans="1:9">
      <c r="A697">
        <v>1056</v>
      </c>
      <c r="B697" t="s">
        <v>39</v>
      </c>
      <c r="C697" s="16">
        <v>46023</v>
      </c>
      <c r="D697">
        <v>18266</v>
      </c>
      <c r="F697" t="s">
        <v>1</v>
      </c>
      <c r="H697" s="17">
        <f t="shared" ca="1" si="20"/>
        <v>46174</v>
      </c>
      <c r="I697" s="17" t="str">
        <f t="shared" ca="1" si="21"/>
        <v>90+ Days</v>
      </c>
    </row>
    <row r="698" spans="1:9">
      <c r="A698">
        <v>1057</v>
      </c>
      <c r="B698" t="s">
        <v>39</v>
      </c>
      <c r="C698" s="16">
        <v>46023</v>
      </c>
      <c r="D698">
        <v>12096</v>
      </c>
      <c r="F698" t="s">
        <v>1</v>
      </c>
      <c r="H698" s="17">
        <f t="shared" ca="1" si="20"/>
        <v>46174</v>
      </c>
      <c r="I698" s="17" t="str">
        <f t="shared" ca="1" si="21"/>
        <v>90+ Days</v>
      </c>
    </row>
    <row r="699" spans="1:9">
      <c r="A699">
        <v>1058</v>
      </c>
      <c r="B699" t="s">
        <v>14</v>
      </c>
      <c r="C699" s="16">
        <v>46023</v>
      </c>
      <c r="D699">
        <v>5040</v>
      </c>
      <c r="F699" t="s">
        <v>1</v>
      </c>
      <c r="H699" s="17">
        <f t="shared" ca="1" si="20"/>
        <v>46174</v>
      </c>
      <c r="I699" s="17" t="str">
        <f t="shared" ca="1" si="21"/>
        <v>90+ Days</v>
      </c>
    </row>
    <row r="700" spans="1:9">
      <c r="A700">
        <v>1059</v>
      </c>
      <c r="B700" t="s">
        <v>81</v>
      </c>
      <c r="C700" s="16">
        <v>46023</v>
      </c>
      <c r="D700">
        <v>5040</v>
      </c>
      <c r="F700" t="s">
        <v>1</v>
      </c>
      <c r="H700" s="17">
        <f t="shared" ca="1" si="20"/>
        <v>46174</v>
      </c>
      <c r="I700" s="17" t="str">
        <f t="shared" ca="1" si="21"/>
        <v>90+ Days</v>
      </c>
    </row>
    <row r="701" spans="1:9">
      <c r="A701">
        <v>1060</v>
      </c>
      <c r="B701" t="s">
        <v>54</v>
      </c>
      <c r="C701" s="16">
        <v>46024</v>
      </c>
      <c r="D701">
        <v>2898</v>
      </c>
      <c r="F701" t="s">
        <v>1</v>
      </c>
      <c r="H701" s="17">
        <f t="shared" ca="1" si="20"/>
        <v>46174</v>
      </c>
      <c r="I701" s="17" t="str">
        <f t="shared" ca="1" si="21"/>
        <v>90+ Days</v>
      </c>
    </row>
    <row r="702" spans="1:9">
      <c r="A702">
        <v>1061</v>
      </c>
      <c r="B702" t="s">
        <v>54</v>
      </c>
      <c r="C702" s="16">
        <v>46024</v>
      </c>
      <c r="D702">
        <v>3593</v>
      </c>
      <c r="F702" t="s">
        <v>1</v>
      </c>
      <c r="H702" s="17">
        <f t="shared" ca="1" si="20"/>
        <v>46174</v>
      </c>
      <c r="I702" s="17" t="str">
        <f t="shared" ca="1" si="21"/>
        <v>90+ Days</v>
      </c>
    </row>
    <row r="703" spans="1:9">
      <c r="A703">
        <v>1062</v>
      </c>
      <c r="B703" t="s">
        <v>44</v>
      </c>
      <c r="C703" s="16">
        <v>46024</v>
      </c>
      <c r="D703">
        <v>8784</v>
      </c>
      <c r="F703" t="s">
        <v>1</v>
      </c>
      <c r="H703" s="17">
        <f t="shared" ca="1" si="20"/>
        <v>46174</v>
      </c>
      <c r="I703" s="17" t="str">
        <f t="shared" ca="1" si="21"/>
        <v>90+ Days</v>
      </c>
    </row>
    <row r="704" spans="1:9">
      <c r="A704">
        <v>1063</v>
      </c>
      <c r="B704" t="s">
        <v>15</v>
      </c>
      <c r="C704" s="16">
        <v>46025</v>
      </c>
      <c r="D704">
        <v>4673</v>
      </c>
      <c r="F704" t="s">
        <v>1</v>
      </c>
      <c r="H704" s="17">
        <f t="shared" ca="1" si="20"/>
        <v>46174</v>
      </c>
      <c r="I704" s="17" t="str">
        <f t="shared" ca="1" si="21"/>
        <v>90+ Days</v>
      </c>
    </row>
    <row r="705" spans="1:9">
      <c r="A705">
        <v>1064</v>
      </c>
      <c r="B705" t="s">
        <v>15</v>
      </c>
      <c r="C705" s="16">
        <v>46025</v>
      </c>
      <c r="D705">
        <v>14166</v>
      </c>
      <c r="F705" t="s">
        <v>1</v>
      </c>
      <c r="H705" s="17">
        <f t="shared" ca="1" si="20"/>
        <v>46174</v>
      </c>
      <c r="I705" s="17" t="str">
        <f t="shared" ca="1" si="21"/>
        <v>90+ Days</v>
      </c>
    </row>
    <row r="706" spans="1:9">
      <c r="A706">
        <v>1065</v>
      </c>
      <c r="B706" t="s">
        <v>15</v>
      </c>
      <c r="C706" s="16">
        <v>46025</v>
      </c>
      <c r="D706">
        <v>5040</v>
      </c>
      <c r="F706" t="s">
        <v>1</v>
      </c>
      <c r="H706" s="17">
        <f t="shared" ref="H706:H769" ca="1" si="22">IF(F706="Closed", 0, IF(TODAY()&gt;G706, TODAY()-G706, 0))</f>
        <v>46174</v>
      </c>
      <c r="I706" s="17" t="str">
        <f t="shared" ref="I706:I769" ca="1" si="23">IF(H706=0, "Not Overdue", IF(H706&lt;=30, "1-30 Days", IF(H706&lt;=60, "31-60 Days", IF(H706&lt;=90, "61-90 Days", "90+ Days"))))</f>
        <v>90+ Days</v>
      </c>
    </row>
    <row r="707" spans="1:9">
      <c r="A707">
        <v>1066</v>
      </c>
      <c r="B707" t="s">
        <v>33</v>
      </c>
      <c r="C707" s="16">
        <v>46025</v>
      </c>
      <c r="D707">
        <v>3632</v>
      </c>
      <c r="F707" t="s">
        <v>1</v>
      </c>
      <c r="H707" s="17">
        <f t="shared" ca="1" si="22"/>
        <v>46174</v>
      </c>
      <c r="I707" s="17" t="str">
        <f t="shared" ca="1" si="23"/>
        <v>90+ Days</v>
      </c>
    </row>
    <row r="708" spans="1:9">
      <c r="A708">
        <v>1067</v>
      </c>
      <c r="B708" t="s">
        <v>69</v>
      </c>
      <c r="C708" s="16">
        <v>46025</v>
      </c>
      <c r="D708">
        <v>3813</v>
      </c>
      <c r="F708" t="s">
        <v>1</v>
      </c>
      <c r="H708" s="17">
        <f t="shared" ca="1" si="22"/>
        <v>46174</v>
      </c>
      <c r="I708" s="17" t="str">
        <f t="shared" ca="1" si="23"/>
        <v>90+ Days</v>
      </c>
    </row>
    <row r="709" spans="1:9">
      <c r="A709">
        <v>1068</v>
      </c>
      <c r="B709" t="s">
        <v>56</v>
      </c>
      <c r="C709" s="16">
        <v>46025</v>
      </c>
      <c r="D709">
        <v>8685</v>
      </c>
      <c r="F709" t="s">
        <v>1</v>
      </c>
      <c r="H709" s="17">
        <f t="shared" ca="1" si="22"/>
        <v>46174</v>
      </c>
      <c r="I709" s="17" t="str">
        <f t="shared" ca="1" si="23"/>
        <v>90+ Days</v>
      </c>
    </row>
    <row r="710" spans="1:9">
      <c r="A710">
        <v>1069</v>
      </c>
      <c r="B710" t="s">
        <v>82</v>
      </c>
      <c r="C710" s="16">
        <v>46025</v>
      </c>
      <c r="D710">
        <v>3898</v>
      </c>
      <c r="F710" t="s">
        <v>1</v>
      </c>
      <c r="H710" s="17">
        <f t="shared" ca="1" si="22"/>
        <v>46174</v>
      </c>
      <c r="I710" s="17" t="str">
        <f t="shared" ca="1" si="23"/>
        <v>90+ Days</v>
      </c>
    </row>
    <row r="711" spans="1:9">
      <c r="A711">
        <v>1070</v>
      </c>
      <c r="B711" t="s">
        <v>64</v>
      </c>
      <c r="C711" s="16">
        <v>46025</v>
      </c>
      <c r="D711">
        <v>15456</v>
      </c>
      <c r="F711" t="s">
        <v>1</v>
      </c>
      <c r="H711" s="17">
        <f t="shared" ca="1" si="22"/>
        <v>46174</v>
      </c>
      <c r="I711" s="17" t="str">
        <f t="shared" ca="1" si="23"/>
        <v>90+ Days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Invoice_data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Goyal</dc:creator>
  <cp:lastModifiedBy>Sarthak Goyal</cp:lastModifiedBy>
  <dcterms:created xsi:type="dcterms:W3CDTF">2026-06-01T17:21:04Z</dcterms:created>
  <dcterms:modified xsi:type="dcterms:W3CDTF">2026-06-01T18:07:07Z</dcterms:modified>
</cp:coreProperties>
</file>